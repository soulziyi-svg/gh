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fb4d4f4ae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189d23d66f73476c"/>
    <x:sheet xmlns:r="http://schemas.openxmlformats.org/officeDocument/2006/relationships" name="01_현장정보" sheetId="2" r:id="R89b3499337934d76"/>
    <x:sheet xmlns:r="http://schemas.openxmlformats.org/officeDocument/2006/relationships" name="02_물량산출" sheetId="3" r:id="R47b21c2b8dee41d6"/>
    <x:sheet xmlns:r="http://schemas.openxmlformats.org/officeDocument/2006/relationships" name="03_상세견적" sheetId="4" r:id="R47ac28b2a5254b8e"/>
    <x:sheet xmlns:r="http://schemas.openxmlformats.org/officeDocument/2006/relationships" name="04_마감재" sheetId="5" r:id="R674ed8afd5964ecb"/>
    <x:sheet xmlns:r="http://schemas.openxmlformats.org/officeDocument/2006/relationships" name="05_셀프외주" sheetId="6" r:id="Rfc7906c4c7f04159"/>
    <x:sheet xmlns:r="http://schemas.openxmlformats.org/officeDocument/2006/relationships" name="06_공정발주" sheetId="7" r:id="R8c0f77f4aa80488b"/>
    <x:sheet xmlns:r="http://schemas.openxmlformats.org/officeDocument/2006/relationships" name="07_변경검수" sheetId="8" r:id="R06243781c8d64067"/>
    <x:sheet xmlns:r="http://schemas.openxmlformats.org/officeDocument/2006/relationships" name="08_실제정산" sheetId="9" r:id="R2a36510ca6cc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2A46A3"/>
      <x:name val="Carlito"/>
    </x:font>
    <x:font>
      <x:b/>
      <x:sz val="11"/>
      <x:color rgb="FFFFFFFF"/>
      <x:name val="Carlito"/>
    </x:font>
    <x:font>
      <x:b/>
      <x:sz val="11"/>
      <x:color rgb="FF201C18"/>
      <x:name val="Carlito"/>
    </x:font>
    <x:font>
      <x:b/>
      <x:sz val="12"/>
      <x:color rgb="FF2A46A3"/>
      <x:name val="Carlito"/>
    </x:font>
    <x:font>
      <x:sz val="10"/>
      <x:color rgb="FF201C18"/>
      <x:name val="Carlito"/>
    </x:font>
    <x:font>
      <x:b/>
      <x:sz val="10"/>
      <x:color rgb="FF201C1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57C9"/>
      </x:patternFill>
    </x:fill>
    <x:fill>
      <x:patternFill patternType="solid">
        <x:fgColor rgb="FFEAF0FA"/>
      </x:patternFill>
    </x:fill>
    <x:fill>
      <x:patternFill patternType="solid">
        <x:fgColor rgb="FF201C18"/>
      </x:patternFill>
    </x:fill>
    <x:fill>
      <x:patternFill patternType="solid">
        <x:fgColor rgb="FFFBF9F6"/>
      </x:patternFill>
    </x:fill>
    <x:fill>
      <x:patternFill patternType="solid">
        <x:fgColor rgb="FFFFFFFF"/>
      </x:patternFill>
    </x:fill>
  </x:fills>
  <x:borders count="4">
    <x:border/>
    <x:border>
      <x:right style="thin">
        <x:color rgb="FF555555"/>
      </x:right>
    </x:border>
    <x:border>
      <x:left style="thin">
        <x:color rgb="FF555555"/>
      </x:left>
      <x:right style="thin">
        <x:color rgb="FF555555"/>
      </x:right>
    </x:border>
    <x:border>
      <x:left style="thin">
        <x:color rgb="FF555555"/>
      </x:left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1" fontId="0" fillId="0" borderId="0" xfId="0" applyNumberFormat="1" applyFont="1" applyFill="1" applyBorder="1"/>
    <x:xf numFmtId="202" fontId="0" fillId="3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5" borderId="0" xfId="0" applyNumberFormat="1" applyFont="1" applyFill="1" applyBorder="1"/>
    <x:xf numFmtId="201" fontId="7" fillId="6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201" fontId="6" fillId="0" borderId="0" xfId="0" applyNumberFormat="1" applyFont="1" applyFill="1" applyBorder="1"/>
    <x:xf numFmtId="201" fontId="7" fillId="5" borderId="0" xfId="0" applyNumberFormat="1" applyFont="1" applyFill="1" applyBorder="1"/>
    <x:xf numFmtId="202" fontId="6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201" fontId="7" fillId="6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 applyAlignment="1">
      <x:alignment wrapText="1"/>
    </x:xf>
    <x:xf numFmtId="201" fontId="6" fillId="3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7" fillId="5" borderId="0" xfId="0" applyNumberFormat="1" applyFont="1" applyFill="1" applyBorder="1" applyAlignment="1">
      <x:alignment wrapText="1"/>
    </x:xf>
    <x:xf numFmtId="202" fontId="6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1" fontId="7" fillId="6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7" fillId="5" borderId="0" xfId="0" applyNumberFormat="1" applyFont="1" applyFill="1" applyBorder="1" applyAlignment="1">
      <x:alignment vertical="center" wrapText="1"/>
    </x:xf>
    <x:xf numFmtId="202" fontId="6" fillId="3" borderId="0" xfId="0" applyNumberFormat="1" applyFont="1" applyFill="1" applyBorder="1" applyAlignment="1">
      <x:alignment vertical="center" wrapText="1"/>
    </x:xf>
    <x:xf numFmtId="203" fontId="6" fillId="3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20b5060554ec0" /><Relationship Type="http://schemas.openxmlformats.org/officeDocument/2006/relationships/theme" Target="/xl/theme/theme1.xml" Id="Rdff08a41a26b4977" /><Relationship Type="http://schemas.openxmlformats.org/officeDocument/2006/relationships/sharedStrings" Target="/xl/sharedStrings.xml" Id="R333fe063bb29467c" /><Relationship Type="http://schemas.openxmlformats.org/officeDocument/2006/relationships/worksheet" Target="/xl/worksheets/sheet1.xml" Id="R189d23d66f73476c" /><Relationship Type="http://schemas.openxmlformats.org/officeDocument/2006/relationships/worksheet" Target="/xl/worksheets/sheet2.xml" Id="R89b3499337934d76" /><Relationship Type="http://schemas.openxmlformats.org/officeDocument/2006/relationships/worksheet" Target="/xl/worksheets/sheet3.xml" Id="R47b21c2b8dee41d6" /><Relationship Type="http://schemas.openxmlformats.org/officeDocument/2006/relationships/worksheet" Target="/xl/worksheets/sheet4.xml" Id="R47ac28b2a5254b8e" /><Relationship Type="http://schemas.openxmlformats.org/officeDocument/2006/relationships/worksheet" Target="/xl/worksheets/sheet5.xml" Id="R674ed8afd5964ecb" /><Relationship Type="http://schemas.openxmlformats.org/officeDocument/2006/relationships/worksheet" Target="/xl/worksheets/sheet6.xml" Id="Rfc7906c4c7f04159" /><Relationship Type="http://schemas.openxmlformats.org/officeDocument/2006/relationships/worksheet" Target="/xl/worksheets/sheet7.xml" Id="R8c0f77f4aa80488b" /><Relationship Type="http://schemas.openxmlformats.org/officeDocument/2006/relationships/worksheet" Target="/xl/worksheets/sheet8.xml" Id="R06243781c8d64067" /><Relationship Type="http://schemas.openxmlformats.org/officeDocument/2006/relationships/worksheet" Target="/xl/worksheets/sheet9.xml" Id="R2a36510ca6cc4d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2" hidden="0" customWidth="1"/>
    <x:col min="4" max="4" width="18" hidden="0" customWidth="1"/>
    <x:col min="5" max="5" width="22" hidden="0" customWidth="1"/>
    <x:col min="6" max="6" width="25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공간한쪽 | 셀프 인테리어 상세 견적서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파란 셀은 입력, 흰 셀은 자동 계산입니다. 사진 기반 금액은 확정 견적이 아닙니다.</x:v>
      </x:c>
      <x:c r="B2" s="7"/>
      <x:c r="C2" s="7"/>
      <x:c r="D2" s="7"/>
      <x:c r="E2" s="7"/>
      <x:c r="F2" s="7"/>
      <x:c r="G2" s="7"/>
      <x:c r="H2" s="7"/>
    </x:row>
    <x:row r="4">
      <x:c r="A4" s="49" t="str">
        <x:v>프로젝트명</x:v>
      </x:c>
      <x:c r="B4" s="50" t="str">
        <x:v>[입력]</x:v>
      </x:c>
      <x:c r="C4" s="49"/>
      <x:c r="D4" s="51" t="str">
        <x:v>필수 공사</x:v>
      </x:c>
      <x:c r="E4" s="52" t="n">
        <x:f>SUMIF('03_상세견적'!$D$5:$D$104,"필수",'03_상세견적'!$U$5:$U$104)</x:f>
        <x:v>0</x:v>
      </x:c>
    </x:row>
    <x:row r="5">
      <x:c r="A5" s="49" t="str">
        <x:v>고객명</x:v>
      </x:c>
      <x:c r="B5" s="50" t="str">
        <x:v>[입력]</x:v>
      </x:c>
      <x:c r="C5" s="49"/>
      <x:c r="D5" s="51" t="str">
        <x:v>선택 공사</x:v>
      </x:c>
      <x:c r="E5" s="52" t="n">
        <x:f>SUMIF('03_상세견적'!$D$5:$D$104,"선택",'03_상세견적'!$U$5:$U$104)</x:f>
        <x:v>0</x:v>
      </x:c>
    </x:row>
    <x:row r="6">
      <x:c r="A6" s="49" t="str">
        <x:v>현장 주소</x:v>
      </x:c>
      <x:c r="B6" s="50" t="str">
        <x:v>[입력]</x:v>
      </x:c>
      <x:c r="C6" s="49"/>
      <x:c r="D6" s="51" t="str">
        <x:v>공급가액</x:v>
      </x:c>
      <x:c r="E6" s="52" t="n">
        <x:f>SUM('03_상세견적'!$U$5:$U$104)</x:f>
        <x:v>0</x:v>
      </x:c>
    </x:row>
    <x:row r="7">
      <x:c r="A7" s="49" t="str">
        <x:v>견적 기준일</x:v>
      </x:c>
      <x:c r="B7" s="53" t="n">
        <x:v>46266.591789872684</x:v>
      </x:c>
      <x:c r="C7" s="49"/>
      <x:c r="D7" s="51" t="str">
        <x:v>부가세</x:v>
      </x:c>
      <x:c r="E7" s="52" t="n">
        <x:f>SUM('03_상세견적'!$V$5:$V$104)</x:f>
        <x:v>0</x:v>
      </x:c>
    </x:row>
    <x:row r="8">
      <x:c r="A8" s="49" t="str">
        <x:v>견적 신뢰도</x:v>
      </x:c>
      <x:c r="B8" s="50" t="str">
        <x:v>L1 초기 예상</x:v>
      </x:c>
      <x:c r="C8" s="49"/>
      <x:c r="D8" s="51" t="str">
        <x:v>예비비</x:v>
      </x:c>
      <x:c r="E8" s="52" t="n">
        <x:f>E6*$B$10</x:f>
        <x:v>0</x:v>
      </x:c>
    </x:row>
    <x:row r="9">
      <x:c r="A9" s="49" t="str">
        <x:v>예산 상한</x:v>
      </x:c>
      <x:c r="B9" s="54" t="n">
        <x:v>0</x:v>
      </x:c>
      <x:c r="C9" s="55"/>
      <x:c r="D9" s="56" t="str">
        <x:v>최종 예상액</x:v>
      </x:c>
      <x:c r="E9" s="52" t="n">
        <x:f>E6+E7+E8</x:f>
        <x:v>0</x:v>
      </x:c>
    </x:row>
    <x:row r="10">
      <x:c r="A10" s="49" t="str">
        <x:v>예비비율</x:v>
      </x:c>
      <x:c r="B10" s="57" t="n">
        <x:v>0.1</x:v>
      </x:c>
      <x:c r="C10" s="49"/>
      <x:c r="D10" s="49"/>
      <x:c r="E10" s="49"/>
    </x:row>
    <x:row r="12" ht="25" customHeight="1">
      <x:c r="A12" s="16" t="str">
        <x:v>견적 신뢰도</x:v>
      </x:c>
      <x:c r="B12" s="17" t="str">
        <x:v>기준</x:v>
      </x:c>
      <x:c r="C12" s="17" t="str">
        <x:v>금액 사용 방법</x:v>
      </x:c>
      <x:c r="D12" s="17" t="str"/>
      <x:c r="E12" s="17" t="str">
        <x:v>안전 원칙</x:v>
      </x:c>
      <x:c r="F12" s="17" t="str">
        <x:v>설명</x:v>
      </x:c>
      <x:c r="G12" s="17" t="str"/>
      <x:c r="H12" s="18" t="str"/>
    </x:row>
    <x:row r="13">
      <x:c r="A13" s="49" t="str">
        <x:v>L1 초기 예상</x:v>
      </x:c>
      <x:c r="B13" s="49" t="str">
        <x:v>사진·대략 치수</x:v>
      </x:c>
      <x:c r="C13" s="49" t="str">
        <x:v>예산 범위 확인</x:v>
      </x:c>
      <x:c r="D13" s="49"/>
      <x:c r="E13" s="49" t="str">
        <x:v>A 초보자 가능</x:v>
      </x:c>
      <x:c r="F13" s="49" t="str">
        <x:v>기본 손공구 수준</x:v>
      </x:c>
      <x:c r="G13" s="49" t="str"/>
      <x:c r="H13" s="49" t="str"/>
    </x:row>
    <x:row r="14">
      <x:c r="A14" s="49" t="str">
        <x:v>L2 실측 가견적</x:v>
      </x:c>
      <x:c r="B14" s="49" t="str">
        <x:v>상세 실측·사양</x:v>
      </x:c>
      <x:c r="C14" s="49" t="str">
        <x:v>업체 문의 기준</x:v>
      </x:c>
      <x:c r="D14" s="49"/>
      <x:c r="E14" s="49" t="str">
        <x:v>B 경험 필요</x:v>
      </x:c>
      <x:c r="F14" s="49" t="str">
        <x:v>전동공구·정밀 작업</x:v>
      </x:c>
      <x:c r="G14" s="49" t="str"/>
      <x:c r="H14" s="49" t="str"/>
    </x:row>
    <x:row r="15">
      <x:c r="A15" s="49" t="str">
        <x:v>L3 현장 확인</x:v>
      </x:c>
      <x:c r="B15" s="49" t="str">
        <x:v>작업자 현장 확인</x:v>
      </x:c>
      <x:c r="C15" s="49" t="str">
        <x:v>현장 변수 반영</x:v>
      </x:c>
      <x:c r="D15" s="49"/>
      <x:c r="E15" s="49" t="str">
        <x:v>C 부분 외주 권장</x:v>
      </x:c>
      <x:c r="F15" s="49" t="str">
        <x:v>보조 인원·특수 공구</x:v>
      </x:c>
      <x:c r="G15" s="49" t="str"/>
      <x:c r="H15" s="49" t="str"/>
    </x:row>
    <x:row r="16">
      <x:c r="A16" s="49" t="str">
        <x:v>L4 업체 확정</x:v>
      </x:c>
      <x:c r="B16" s="49" t="str">
        <x:v>범위·단가·일정 합의</x:v>
      </x:c>
      <x:c r="C16" s="49" t="str">
        <x:v>계약 전 확인</x:v>
      </x:c>
      <x:c r="D16" s="49"/>
      <x:c r="E16" s="49" t="str">
        <x:v>D 전문가 권장</x:v>
      </x:c>
      <x:c r="F16" s="49" t="str">
        <x:v>하자·재시공 위험 큼</x:v>
      </x:c>
      <x:c r="G16" s="49" t="str"/>
      <x:c r="H16" s="49" t="str"/>
    </x:row>
    <x:row r="17">
      <x:c r="A17" s="49" t="str">
        <x:v>L5 발주 확정</x:v>
      </x:c>
      <x:c r="B17" s="49" t="str">
        <x:v>실제 구매·배송비</x:v>
      </x:c>
      <x:c r="C17" s="49" t="str">
        <x:v>구매·정산 기준</x:v>
      </x:c>
      <x:c r="D17" s="49"/>
      <x:c r="E17" s="49" t="str">
        <x:v>E 전문가 확인 필수</x:v>
      </x:c>
      <x:c r="F17" s="49" t="str">
        <x:v>전기·가스·구조·방수</x:v>
      </x:c>
      <x:c r="G17" s="49" t="str"/>
      <x:c r="H17" s="49" t="str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22" hidden="0" customWidth="1"/>
    <x:col min="5" max="5" width="38" hidden="0" customWidth="1"/>
    <x:col min="6" max="6" width="25" hidden="0" customWidth="1"/>
  </x:cols>
  <x:sheetData>
    <x:row r="1" ht="34" customHeight="1">
      <x:c r="A1" s="3" t="str">
        <x:v>01 | 고객·현장 분석</x:v>
      </x:c>
      <x:c r="B1" s="3"/>
      <x:c r="C1" s="3"/>
      <x:c r="D1" s="3"/>
      <x:c r="E1" s="3"/>
      <x:c r="F1" s="3"/>
    </x:row>
    <x:row r="2" ht="28" customHeight="1">
      <x:c r="A2" s="7" t="str">
        <x:v>확인 상태: 확인됨 / 사진상 추정 / 추가 실측 필요 / 전문가 확인 필요 / 철거 후 확인</x:v>
      </x:c>
      <x:c r="B2" s="7"/>
      <x:c r="C2" s="7"/>
      <x:c r="D2" s="7"/>
      <x:c r="E2" s="7"/>
      <x:c r="F2" s="7"/>
    </x:row>
    <x:row r="4" ht="25" customHeight="1">
      <x:c r="A4" s="16" t="str">
        <x:v>구분</x:v>
      </x:c>
      <x:c r="B4" s="17" t="str">
        <x:v>확인 항목</x:v>
      </x:c>
      <x:c r="C4" s="17" t="str">
        <x:v>입력·관찰 내용</x:v>
      </x:c>
      <x:c r="D4" s="17" t="str">
        <x:v>확인 상태</x:v>
      </x:c>
      <x:c r="E4" s="17" t="str">
        <x:v>위험·영향</x:v>
      </x:c>
      <x:c r="F4" s="18" t="str">
        <x:v>사진/근거</x:v>
      </x:c>
    </x:row>
    <x:row r="5">
      <x:c r="A5" s="49" t="str">
        <x:v>건물·반출</x:v>
      </x:c>
      <x:c r="B5" s="49" t="str">
        <x:v>[확인할 내용]</x:v>
      </x:c>
      <x:c r="C5" s="50" t="str">
        <x:v>[입력]</x:v>
      </x:c>
      <x:c r="D5" s="50" t="str">
        <x:v>추가 실측 필요</x:v>
      </x:c>
      <x:c r="E5" s="49" t="str">
        <x:v>[영향 기록]</x:v>
      </x:c>
      <x:c r="F5" s="49" t="str">
        <x:v>[사진 번호/출처]</x:v>
      </x:c>
    </x:row>
    <x:row r="6">
      <x:c r="A6" s="49" t="str">
        <x:v>생활 방식</x:v>
      </x:c>
      <x:c r="B6" s="49" t="str">
        <x:v>[확인할 내용]</x:v>
      </x:c>
      <x:c r="C6" s="50" t="str">
        <x:v>[입력]</x:v>
      </x:c>
      <x:c r="D6" s="50" t="str">
        <x:v>추가 실측 필요</x:v>
      </x:c>
      <x:c r="E6" s="49" t="str">
        <x:v>[영향 기록]</x:v>
      </x:c>
      <x:c r="F6" s="49" t="str">
        <x:v>[사진 번호/출처]</x:v>
      </x:c>
    </x:row>
    <x:row r="7">
      <x:c r="A7" s="49" t="str">
        <x:v>구조·동선</x:v>
      </x:c>
      <x:c r="B7" s="49" t="str">
        <x:v>[확인할 내용]</x:v>
      </x:c>
      <x:c r="C7" s="50" t="str">
        <x:v>[입력]</x:v>
      </x:c>
      <x:c r="D7" s="50" t="str">
        <x:v>추가 실측 필요</x:v>
      </x:c>
      <x:c r="E7" s="49" t="str">
        <x:v>[영향 기록]</x:v>
      </x:c>
      <x:c r="F7" s="49" t="str">
        <x:v>[사진 번호/출처]</x:v>
      </x:c>
    </x:row>
    <x:row r="8">
      <x:c r="A8" s="49" t="str">
        <x:v>벽·천장</x:v>
      </x:c>
      <x:c r="B8" s="49" t="str">
        <x:v>[확인할 내용]</x:v>
      </x:c>
      <x:c r="C8" s="50" t="str">
        <x:v>[입력]</x:v>
      </x:c>
      <x:c r="D8" s="50" t="str">
        <x:v>추가 실측 필요</x:v>
      </x:c>
      <x:c r="E8" s="49" t="str">
        <x:v>[영향 기록]</x:v>
      </x:c>
      <x:c r="F8" s="49" t="str">
        <x:v>[사진 번호/출처]</x:v>
      </x:c>
    </x:row>
    <x:row r="9">
      <x:c r="A9" s="49" t="str">
        <x:v>바닥·단차</x:v>
      </x:c>
      <x:c r="B9" s="49" t="str">
        <x:v>[확인할 내용]</x:v>
      </x:c>
      <x:c r="C9" s="50" t="str">
        <x:v>[입력]</x:v>
      </x:c>
      <x:c r="D9" s="50" t="str">
        <x:v>추가 실측 필요</x:v>
      </x:c>
      <x:c r="E9" s="49" t="str">
        <x:v>[영향 기록]</x:v>
      </x:c>
      <x:c r="F9" s="49" t="str">
        <x:v>[사진 번호/출처]</x:v>
      </x:c>
    </x:row>
    <x:row r="10">
      <x:c r="A10" s="49" t="str">
        <x:v>창호·결로</x:v>
      </x:c>
      <x:c r="B10" s="49" t="str">
        <x:v>[확인할 내용]</x:v>
      </x:c>
      <x:c r="C10" s="50" t="str">
        <x:v>[입력]</x:v>
      </x:c>
      <x:c r="D10" s="50" t="str">
        <x:v>추가 실측 필요</x:v>
      </x:c>
      <x:c r="E10" s="49" t="str">
        <x:v>[영향 기록]</x:v>
      </x:c>
      <x:c r="F10" s="49" t="str">
        <x:v>[사진 번호/출처]</x:v>
      </x:c>
    </x:row>
    <x:row r="11">
      <x:c r="A11" s="49" t="str">
        <x:v>전기·조명</x:v>
      </x:c>
      <x:c r="B11" s="49" t="str">
        <x:v>[확인할 내용]</x:v>
      </x:c>
      <x:c r="C11" s="50" t="str">
        <x:v>[입력]</x:v>
      </x:c>
      <x:c r="D11" s="50" t="str">
        <x:v>추가 실측 필요</x:v>
      </x:c>
      <x:c r="E11" s="49" t="str">
        <x:v>[영향 기록]</x:v>
      </x:c>
      <x:c r="F11" s="49" t="str">
        <x:v>[사진 번호/출처]</x:v>
      </x:c>
    </x:row>
    <x:row r="12">
      <x:c r="A12" s="49" t="str">
        <x:v>급수·배수</x:v>
      </x:c>
      <x:c r="B12" s="49" t="str">
        <x:v>[확인할 내용]</x:v>
      </x:c>
      <x:c r="C12" s="50" t="str">
        <x:v>[입력]</x:v>
      </x:c>
      <x:c r="D12" s="50" t="str">
        <x:v>추가 실측 필요</x:v>
      </x:c>
      <x:c r="E12" s="49" t="str">
        <x:v>[영향 기록]</x:v>
      </x:c>
      <x:c r="F12" s="49" t="str">
        <x:v>[사진 번호/출처]</x:v>
      </x:c>
    </x:row>
    <x:row r="13">
      <x:c r="A13" s="49" t="str">
        <x:v>가스·환기</x:v>
      </x:c>
      <x:c r="B13" s="49" t="str">
        <x:v>[확인할 내용]</x:v>
      </x:c>
      <x:c r="C13" s="50" t="str">
        <x:v>[입력]</x:v>
      </x:c>
      <x:c r="D13" s="50" t="str">
        <x:v>추가 실측 필요</x:v>
      </x:c>
      <x:c r="E13" s="49" t="str">
        <x:v>[영향 기록]</x:v>
      </x:c>
      <x:c r="F13" s="49" t="str">
        <x:v>[사진 번호/출처]</x:v>
      </x:c>
    </x:row>
    <x:row r="14">
      <x:c r="A14" s="49" t="str">
        <x:v>욕실 방수</x:v>
      </x:c>
      <x:c r="B14" s="49" t="str">
        <x:v>[확인할 내용]</x:v>
      </x:c>
      <x:c r="C14" s="50" t="str">
        <x:v>[입력]</x:v>
      </x:c>
      <x:c r="D14" s="50" t="str">
        <x:v>추가 실측 필요</x:v>
      </x:c>
      <x:c r="E14" s="49" t="str">
        <x:v>[영향 기록]</x:v>
      </x:c>
      <x:c r="F14" s="49" t="str">
        <x:v>[사진 번호/출처]</x:v>
      </x:c>
    </x:row>
    <x:row r="15">
      <x:c r="A15" s="49" t="str">
        <x:v>철거·폐기물</x:v>
      </x:c>
      <x:c r="B15" s="49" t="str">
        <x:v>[확인할 내용]</x:v>
      </x:c>
      <x:c r="C15" s="50" t="str">
        <x:v>[입력]</x:v>
      </x:c>
      <x:c r="D15" s="50" t="str">
        <x:v>추가 실측 필요</x:v>
      </x:c>
      <x:c r="E15" s="49" t="str">
        <x:v>[영향 기록]</x:v>
      </x:c>
      <x:c r="F15" s="49" t="str">
        <x:v>[사진 번호/출처]</x:v>
      </x:c>
    </x:row>
    <x:row r="16">
      <x:c r="A16" s="49" t="str">
        <x:v>관리사무소</x:v>
      </x:c>
      <x:c r="B16" s="49" t="str">
        <x:v>[확인할 내용]</x:v>
      </x:c>
      <x:c r="C16" s="50" t="str">
        <x:v>[입력]</x:v>
      </x:c>
      <x:c r="D16" s="50" t="str">
        <x:v>추가 실측 필요</x:v>
      </x:c>
      <x:c r="E16" s="49" t="str">
        <x:v>[영향 기록]</x:v>
      </x:c>
      <x:c r="F16" s="49" t="str">
        <x:v>[사진 번호/출처]</x:v>
      </x:c>
    </x:row>
    <x:row r="17">
      <x:c r="A17" s="49" t="str">
        <x:v>예산·일정</x:v>
      </x:c>
      <x:c r="B17" s="49" t="str">
        <x:v>[확인할 내용]</x:v>
      </x:c>
      <x:c r="C17" s="50" t="str">
        <x:v>[입력]</x:v>
      </x:c>
      <x:c r="D17" s="50" t="str">
        <x:v>추가 실측 필요</x:v>
      </x:c>
      <x:c r="E17" s="49" t="str">
        <x:v>[영향 기록]</x:v>
      </x:c>
      <x:c r="F17" s="49" t="str">
        <x:v>[사진 번호/출처]</x:v>
      </x:c>
    </x:row>
  </x:sheetData>
  <x:mergeCells>
    <x:mergeCell ref="A1:F1"/>
    <x:mergeCell ref="A2:F2"/>
  </x:mergeCells>
  <x:dataValidations count="1">
    <x:dataValidation type="list" sqref="D5:D17">
      <x:formula1>"확인됨,사진상 추정,추가 실측 필요,전문가 확인 필요,철거 후 확인"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4" hidden="0" customWidth="1"/>
    <x:col min="11" max="11" width="11" hidden="0" customWidth="1"/>
    <x:col min="12" max="12" width="14" hidden="0" customWidth="1"/>
    <x:col min="13" max="13" width="13" hidden="0" customWidth="1"/>
    <x:col min="14" max="14" width="14" hidden="0" customWidth="1"/>
  </x:cols>
  <x:sheetData>
    <x:row r="1" ht="34" customHeight="1">
      <x:c r="A1" s="3" t="str">
        <x:v>02 | 물량 산출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치수·개수·손실률을 입력하면 계산 수량과 포장 단위별 발주 수량을 계산합니다.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5" customHeight="1">
      <x:c r="A4" s="16" t="str">
        <x:v>ID</x:v>
      </x:c>
      <x:c r="B4" s="17" t="str">
        <x:v>공간</x:v>
      </x:c>
      <x:c r="C4" s="17" t="str">
        <x:v>공종</x:v>
      </x:c>
      <x:c r="D4" s="17" t="str">
        <x:v>항목</x:v>
      </x:c>
      <x:c r="E4" s="17" t="str">
        <x:v>산출 방식</x:v>
      </x:c>
      <x:c r="F4" s="17" t="str">
        <x:v>가로(m)</x:v>
      </x:c>
      <x:c r="G4" s="17" t="str">
        <x:v>세로(m)</x:v>
      </x:c>
      <x:c r="H4" s="17" t="str">
        <x:v>높이(m)</x:v>
      </x:c>
      <x:c r="I4" s="17" t="str">
        <x:v>개수</x:v>
      </x:c>
      <x:c r="J4" s="17" t="str">
        <x:v>실측 수량</x:v>
      </x:c>
      <x:c r="K4" s="17" t="str">
        <x:v>손실률</x:v>
      </x:c>
      <x:c r="L4" s="17" t="str">
        <x:v>계산 수량</x:v>
      </x:c>
      <x:c r="M4" s="17" t="str">
        <x:v>포장 단위</x:v>
      </x:c>
      <x:c r="N4" s="18" t="str">
        <x:v>발주 수량</x:v>
      </x:c>
    </x:row>
    <x:row r="5">
      <x:c r="A5" s="50" t="str">
        <x:v>Q001</x:v>
      </x:c>
      <x:c r="B5" s="50" t="str">
        <x:v>욕실</x:v>
      </x:c>
      <x:c r="C5" s="50" t="str">
        <x:v>타일</x:v>
      </x:c>
      <x:c r="D5" s="50" t="str">
        <x:v>바닥 타일</x:v>
      </x:c>
      <x:c r="E5" s="50" t="str">
        <x:v>면적</x:v>
      </x:c>
      <x:c r="F5" s="58" t="n">
        <x:v>2.4</x:v>
      </x:c>
      <x:c r="G5" s="58" t="n">
        <x:v>1.8</x:v>
      </x:c>
      <x:c r="H5" s="58" t="n">
        <x:v>0</x:v>
      </x:c>
      <x:c r="I5" s="58" t="n">
        <x:v>1</x:v>
      </x:c>
      <x:c r="J5" s="59" t="n">
        <x:f>IF(A5="","",IF(E5="면적",F5*G5*I5,IF(E5="벽면적",F5*H5*I5,I5)))</x:f>
        <x:v>4.32</x:v>
      </x:c>
      <x:c r="K5" s="57" t="n">
        <x:v>0.1</x:v>
      </x:c>
      <x:c r="L5" s="59" t="n">
        <x:f>IF(A5="","",J5*(1+K5))</x:f>
        <x:v>4.752000000000001</x:v>
      </x:c>
      <x:c r="M5" s="58" t="n">
        <x:v>1.44</x:v>
      </x:c>
      <x:c r="N5" s="59" t="n">
        <x:f>IF(A5="","",IF(M5=0,0,ROUNDUP(L5/M5,0)*M5))</x:f>
        <x:v>5.76</x:v>
      </x:c>
    </x:row>
    <x:row r="6">
      <x:c r="A6" s="50" t="str">
        <x:v>Q002</x:v>
      </x:c>
      <x:c r="B6" s="50" t="str">
        <x:v>거실</x:v>
      </x:c>
      <x:c r="C6" s="50" t="str">
        <x:v>도배</x:v>
      </x:c>
      <x:c r="D6" s="50" t="str">
        <x:v>벽 도배</x:v>
      </x:c>
      <x:c r="E6" s="50" t="str">
        <x:v>벽면적</x:v>
      </x:c>
      <x:c r="F6" s="58" t="n">
        <x:v>4.2</x:v>
      </x:c>
      <x:c r="G6" s="58" t="n">
        <x:v>0</x:v>
      </x:c>
      <x:c r="H6" s="58" t="n">
        <x:v>2.3</x:v>
      </x:c>
      <x:c r="I6" s="58" t="n">
        <x:v>2</x:v>
      </x:c>
      <x:c r="J6" s="59" t="n">
        <x:f>IF(A6="","",IF(E6="면적",F6*G6*I6,IF(E6="벽면적",F6*H6*I6,I6)))</x:f>
        <x:v>19.32</x:v>
      </x:c>
      <x:c r="K6" s="57" t="n">
        <x:v>0.08</x:v>
      </x:c>
      <x:c r="L6" s="59" t="n">
        <x:f>IF(A6="","",J6*(1+K6))</x:f>
        <x:v>20.8656</x:v>
      </x:c>
      <x:c r="M6" s="58" t="n">
        <x:v>1</x:v>
      </x:c>
      <x:c r="N6" s="59" t="n">
        <x:f>IF(A6="","",IF(M6=0,0,ROUNDUP(L6/M6,0)*M6))</x:f>
        <x:v>21</x:v>
      </x:c>
    </x:row>
    <x:row r="7">
      <x:c r="A7" s="50" t="str">
        <x:v>Q003</x:v>
      </x:c>
      <x:c r="B7" s="50" t="str">
        <x:v>주방</x:v>
      </x:c>
      <x:c r="C7" s="50" t="str">
        <x:v>가구</x:v>
      </x:c>
      <x:c r="D7" s="50" t="str">
        <x:v>손잡이</x:v>
      </x:c>
      <x:c r="E7" s="50" t="str">
        <x:v>개수</x:v>
      </x:c>
      <x:c r="F7" s="58" t="n">
        <x:v>0</x:v>
      </x:c>
      <x:c r="G7" s="58" t="n">
        <x:v>0</x:v>
      </x:c>
      <x:c r="H7" s="58" t="n">
        <x:v>0</x:v>
      </x:c>
      <x:c r="I7" s="58" t="n">
        <x:v>12</x:v>
      </x:c>
      <x:c r="J7" s="59" t="n">
        <x:f>IF(A7="","",IF(E7="면적",F7*G7*I7,IF(E7="벽면적",F7*H7*I7,I7)))</x:f>
        <x:v>12</x:v>
      </x:c>
      <x:c r="K7" s="57" t="n">
        <x:v>0.03</x:v>
      </x:c>
      <x:c r="L7" s="59" t="n">
        <x:f>IF(A7="","",J7*(1+K7))</x:f>
        <x:v>12.36</x:v>
      </x:c>
      <x:c r="M7" s="58" t="n">
        <x:v>1</x:v>
      </x:c>
      <x:c r="N7" s="59" t="n">
        <x:f>IF(A7="","",IF(M7=0,0,ROUNDUP(L7/M7,0)*M7))</x:f>
        <x:v>13</x:v>
      </x:c>
    </x:row>
    <x:row r="8">
      <x:c r="A8" s="50"/>
      <x:c r="B8" s="50"/>
      <x:c r="C8" s="50"/>
      <x:c r="D8" s="50"/>
      <x:c r="E8" s="50"/>
      <x:c r="F8" s="58"/>
      <x:c r="G8" s="58"/>
      <x:c r="H8" s="58"/>
      <x:c r="I8" s="58"/>
      <x:c r="J8" s="59" t="str">
        <x:f>IF(A8="","",IF(E8="면적",F8*G8*I8,IF(E8="벽면적",F8*H8*I8,I8)))</x:f>
      </x:c>
      <x:c r="K8" s="57"/>
      <x:c r="L8" s="59" t="str">
        <x:f>IF(A8="","",J8*(1+K8))</x:f>
      </x:c>
      <x:c r="M8" s="58"/>
      <x:c r="N8" s="59" t="str">
        <x:f>IF(A8="","",IF(M8=0,0,ROUNDUP(L8/M8,0)*M8))</x:f>
      </x:c>
    </x:row>
    <x:row r="9">
      <x:c r="A9" s="50"/>
      <x:c r="B9" s="50"/>
      <x:c r="C9" s="50"/>
      <x:c r="D9" s="50"/>
      <x:c r="E9" s="50"/>
      <x:c r="F9" s="58"/>
      <x:c r="G9" s="58"/>
      <x:c r="H9" s="58"/>
      <x:c r="I9" s="58"/>
      <x:c r="J9" s="59" t="str">
        <x:f>IF(A9="","",IF(E9="면적",F9*G9*I9,IF(E9="벽면적",F9*H9*I9,I9)))</x:f>
      </x:c>
      <x:c r="K9" s="57"/>
      <x:c r="L9" s="59" t="str">
        <x:f>IF(A9="","",J9*(1+K9))</x:f>
      </x:c>
      <x:c r="M9" s="58"/>
      <x:c r="N9" s="59" t="str">
        <x:f>IF(A9="","",IF(M9=0,0,ROUNDUP(L9/M9,0)*M9))</x:f>
      </x:c>
    </x:row>
    <x:row r="10">
      <x:c r="A10" s="50"/>
      <x:c r="B10" s="50"/>
      <x:c r="C10" s="50"/>
      <x:c r="D10" s="50"/>
      <x:c r="E10" s="50"/>
      <x:c r="F10" s="58"/>
      <x:c r="G10" s="58"/>
      <x:c r="H10" s="58"/>
      <x:c r="I10" s="58"/>
      <x:c r="J10" s="59" t="str">
        <x:f>IF(A10="","",IF(E10="면적",F10*G10*I10,IF(E10="벽면적",F10*H10*I10,I10)))</x:f>
      </x:c>
      <x:c r="K10" s="57"/>
      <x:c r="L10" s="59" t="str">
        <x:f>IF(A10="","",J10*(1+K10))</x:f>
      </x:c>
      <x:c r="M10" s="58"/>
      <x:c r="N10" s="59" t="str">
        <x:f>IF(A10="","",IF(M10=0,0,ROUNDUP(L10/M10,0)*M10))</x:f>
      </x:c>
    </x:row>
    <x:row r="11">
      <x:c r="A11" s="50"/>
      <x:c r="B11" s="50"/>
      <x:c r="C11" s="50"/>
      <x:c r="D11" s="50"/>
      <x:c r="E11" s="50"/>
      <x:c r="F11" s="58"/>
      <x:c r="G11" s="58"/>
      <x:c r="H11" s="58"/>
      <x:c r="I11" s="58"/>
      <x:c r="J11" s="59" t="str">
        <x:f>IF(A11="","",IF(E11="면적",F11*G11*I11,IF(E11="벽면적",F11*H11*I11,I11)))</x:f>
      </x:c>
      <x:c r="K11" s="57"/>
      <x:c r="L11" s="59" t="str">
        <x:f>IF(A11="","",J11*(1+K11))</x:f>
      </x:c>
      <x:c r="M11" s="58"/>
      <x:c r="N11" s="59" t="str">
        <x:f>IF(A11="","",IF(M11=0,0,ROUNDUP(L11/M11,0)*M11))</x:f>
      </x:c>
    </x:row>
    <x:row r="12">
      <x:c r="A12" s="50"/>
      <x:c r="B12" s="50"/>
      <x:c r="C12" s="50"/>
      <x:c r="D12" s="50"/>
      <x:c r="E12" s="50"/>
      <x:c r="F12" s="58"/>
      <x:c r="G12" s="58"/>
      <x:c r="H12" s="58"/>
      <x:c r="I12" s="58"/>
      <x:c r="J12" s="59" t="str">
        <x:f>IF(A12="","",IF(E12="면적",F12*G12*I12,IF(E12="벽면적",F12*H12*I12,I12)))</x:f>
      </x:c>
      <x:c r="K12" s="57"/>
      <x:c r="L12" s="59" t="str">
        <x:f>IF(A12="","",J12*(1+K12))</x:f>
      </x:c>
      <x:c r="M12" s="58"/>
      <x:c r="N12" s="59" t="str">
        <x:f>IF(A12="","",IF(M12=0,0,ROUNDUP(L12/M12,0)*M12))</x:f>
      </x:c>
    </x:row>
    <x:row r="13">
      <x:c r="A13" s="50"/>
      <x:c r="B13" s="50"/>
      <x:c r="C13" s="50"/>
      <x:c r="D13" s="50"/>
      <x:c r="E13" s="50"/>
      <x:c r="F13" s="58"/>
      <x:c r="G13" s="58"/>
      <x:c r="H13" s="58"/>
      <x:c r="I13" s="58"/>
      <x:c r="J13" s="59" t="str">
        <x:f>IF(A13="","",IF(E13="면적",F13*G13*I13,IF(E13="벽면적",F13*H13*I13,I13)))</x:f>
      </x:c>
      <x:c r="K13" s="57"/>
      <x:c r="L13" s="59" t="str">
        <x:f>IF(A13="","",J13*(1+K13))</x:f>
      </x:c>
      <x:c r="M13" s="58"/>
      <x:c r="N13" s="59" t="str">
        <x:f>IF(A13="","",IF(M13=0,0,ROUNDUP(L13/M13,0)*M13))</x:f>
      </x:c>
    </x:row>
    <x:row r="14">
      <x:c r="A14" s="50"/>
      <x:c r="B14" s="50"/>
      <x:c r="C14" s="50"/>
      <x:c r="D14" s="50"/>
      <x:c r="E14" s="50"/>
      <x:c r="F14" s="58"/>
      <x:c r="G14" s="58"/>
      <x:c r="H14" s="58"/>
      <x:c r="I14" s="58"/>
      <x:c r="J14" s="59" t="str">
        <x:f>IF(A14="","",IF(E14="면적",F14*G14*I14,IF(E14="벽면적",F14*H14*I14,I14)))</x:f>
      </x:c>
      <x:c r="K14" s="57"/>
      <x:c r="L14" s="59" t="str">
        <x:f>IF(A14="","",J14*(1+K14))</x:f>
      </x:c>
      <x:c r="M14" s="58"/>
      <x:c r="N14" s="59" t="str">
        <x:f>IF(A14="","",IF(M14=0,0,ROUNDUP(L14/M14,0)*M14))</x:f>
      </x:c>
    </x:row>
    <x:row r="15">
      <x:c r="A15" s="50"/>
      <x:c r="B15" s="50"/>
      <x:c r="C15" s="50"/>
      <x:c r="D15" s="50"/>
      <x:c r="E15" s="50"/>
      <x:c r="F15" s="58"/>
      <x:c r="G15" s="58"/>
      <x:c r="H15" s="58"/>
      <x:c r="I15" s="58"/>
      <x:c r="J15" s="59" t="str">
        <x:f>IF(A15="","",IF(E15="면적",F15*G15*I15,IF(E15="벽면적",F15*H15*I15,I15)))</x:f>
      </x:c>
      <x:c r="K15" s="57"/>
      <x:c r="L15" s="59" t="str">
        <x:f>IF(A15="","",J15*(1+K15))</x:f>
      </x:c>
      <x:c r="M15" s="58"/>
      <x:c r="N15" s="59" t="str">
        <x:f>IF(A15="","",IF(M15=0,0,ROUNDUP(L15/M15,0)*M15))</x:f>
      </x:c>
    </x:row>
    <x:row r="16">
      <x:c r="A16" s="50"/>
      <x:c r="B16" s="50"/>
      <x:c r="C16" s="50"/>
      <x:c r="D16" s="50"/>
      <x:c r="E16" s="50"/>
      <x:c r="F16" s="58"/>
      <x:c r="G16" s="58"/>
      <x:c r="H16" s="58"/>
      <x:c r="I16" s="58"/>
      <x:c r="J16" s="59" t="str">
        <x:f>IF(A16="","",IF(E16="면적",F16*G16*I16,IF(E16="벽면적",F16*H16*I16,I16)))</x:f>
      </x:c>
      <x:c r="K16" s="57"/>
      <x:c r="L16" s="59" t="str">
        <x:f>IF(A16="","",J16*(1+K16))</x:f>
      </x:c>
      <x:c r="M16" s="58"/>
      <x:c r="N16" s="59" t="str">
        <x:f>IF(A16="","",IF(M16=0,0,ROUNDUP(L16/M16,0)*M16))</x:f>
      </x:c>
    </x:row>
    <x:row r="17">
      <x:c r="A17" s="50"/>
      <x:c r="B17" s="50"/>
      <x:c r="C17" s="50"/>
      <x:c r="D17" s="50"/>
      <x:c r="E17" s="50"/>
      <x:c r="F17" s="58"/>
      <x:c r="G17" s="58"/>
      <x:c r="H17" s="58"/>
      <x:c r="I17" s="58"/>
      <x:c r="J17" s="59" t="str">
        <x:f>IF(A17="","",IF(E17="면적",F17*G17*I17,IF(E17="벽면적",F17*H17*I17,I17)))</x:f>
      </x:c>
      <x:c r="K17" s="57"/>
      <x:c r="L17" s="59" t="str">
        <x:f>IF(A17="","",J17*(1+K17))</x:f>
      </x:c>
      <x:c r="M17" s="58"/>
      <x:c r="N17" s="59" t="str">
        <x:f>IF(A17="","",IF(M17=0,0,ROUNDUP(L17/M17,0)*M17))</x:f>
      </x:c>
    </x:row>
    <x:row r="18">
      <x:c r="A18" s="50"/>
      <x:c r="B18" s="50"/>
      <x:c r="C18" s="50"/>
      <x:c r="D18" s="50"/>
      <x:c r="E18" s="50"/>
      <x:c r="F18" s="58"/>
      <x:c r="G18" s="58"/>
      <x:c r="H18" s="58"/>
      <x:c r="I18" s="58"/>
      <x:c r="J18" s="59" t="str">
        <x:f>IF(A18="","",IF(E18="면적",F18*G18*I18,IF(E18="벽면적",F18*H18*I18,I18)))</x:f>
      </x:c>
      <x:c r="K18" s="57"/>
      <x:c r="L18" s="59" t="str">
        <x:f>IF(A18="","",J18*(1+K18))</x:f>
      </x:c>
      <x:c r="M18" s="58"/>
      <x:c r="N18" s="59" t="str">
        <x:f>IF(A18="","",IF(M18=0,0,ROUNDUP(L18/M18,0)*M18))</x:f>
      </x:c>
    </x:row>
    <x:row r="19">
      <x:c r="A19" s="50"/>
      <x:c r="B19" s="50"/>
      <x:c r="C19" s="50"/>
      <x:c r="D19" s="50"/>
      <x:c r="E19" s="50"/>
      <x:c r="F19" s="58"/>
      <x:c r="G19" s="58"/>
      <x:c r="H19" s="58"/>
      <x:c r="I19" s="58"/>
      <x:c r="J19" s="59" t="str">
        <x:f>IF(A19="","",IF(E19="면적",F19*G19*I19,IF(E19="벽면적",F19*H19*I19,I19)))</x:f>
      </x:c>
      <x:c r="K19" s="57"/>
      <x:c r="L19" s="59" t="str">
        <x:f>IF(A19="","",J19*(1+K19))</x:f>
      </x:c>
      <x:c r="M19" s="58"/>
      <x:c r="N19" s="59" t="str">
        <x:f>IF(A19="","",IF(M19=0,0,ROUNDUP(L19/M19,0)*M19))</x:f>
      </x:c>
    </x:row>
    <x:row r="20">
      <x:c r="A20" s="50"/>
      <x:c r="B20" s="50"/>
      <x:c r="C20" s="50"/>
      <x:c r="D20" s="50"/>
      <x:c r="E20" s="50"/>
      <x:c r="F20" s="58"/>
      <x:c r="G20" s="58"/>
      <x:c r="H20" s="58"/>
      <x:c r="I20" s="58"/>
      <x:c r="J20" s="59" t="str">
        <x:f>IF(A20="","",IF(E20="면적",F20*G20*I20,IF(E20="벽면적",F20*H20*I20,I20)))</x:f>
      </x:c>
      <x:c r="K20" s="57"/>
      <x:c r="L20" s="59" t="str">
        <x:f>IF(A20="","",J20*(1+K20))</x:f>
      </x:c>
      <x:c r="M20" s="58"/>
      <x:c r="N20" s="59" t="str">
        <x:f>IF(A20="","",IF(M20=0,0,ROUNDUP(L20/M20,0)*M20))</x:f>
      </x:c>
    </x:row>
    <x:row r="21">
      <x:c r="A21" s="50"/>
      <x:c r="B21" s="50"/>
      <x:c r="C21" s="50"/>
      <x:c r="D21" s="50"/>
      <x:c r="E21" s="50"/>
      <x:c r="F21" s="58"/>
      <x:c r="G21" s="58"/>
      <x:c r="H21" s="58"/>
      <x:c r="I21" s="58"/>
      <x:c r="J21" s="59" t="str">
        <x:f>IF(A21="","",IF(E21="면적",F21*G21*I21,IF(E21="벽면적",F21*H21*I21,I21)))</x:f>
      </x:c>
      <x:c r="K21" s="57"/>
      <x:c r="L21" s="59" t="str">
        <x:f>IF(A21="","",J21*(1+K21))</x:f>
      </x:c>
      <x:c r="M21" s="58"/>
      <x:c r="N21" s="59" t="str">
        <x:f>IF(A21="","",IF(M21=0,0,ROUNDUP(L21/M21,0)*M21))</x:f>
      </x:c>
    </x:row>
    <x:row r="22">
      <x:c r="A22" s="50"/>
      <x:c r="B22" s="50"/>
      <x:c r="C22" s="50"/>
      <x:c r="D22" s="50"/>
      <x:c r="E22" s="50"/>
      <x:c r="F22" s="58"/>
      <x:c r="G22" s="58"/>
      <x:c r="H22" s="58"/>
      <x:c r="I22" s="58"/>
      <x:c r="J22" s="59" t="str">
        <x:f>IF(A22="","",IF(E22="면적",F22*G22*I22,IF(E22="벽면적",F22*H22*I22,I22)))</x:f>
      </x:c>
      <x:c r="K22" s="57"/>
      <x:c r="L22" s="59" t="str">
        <x:f>IF(A22="","",J22*(1+K22))</x:f>
      </x:c>
      <x:c r="M22" s="58"/>
      <x:c r="N22" s="59" t="str">
        <x:f>IF(A22="","",IF(M22=0,0,ROUNDUP(L22/M22,0)*M22))</x:f>
      </x:c>
    </x:row>
    <x:row r="23">
      <x:c r="A23" s="50"/>
      <x:c r="B23" s="50"/>
      <x:c r="C23" s="50"/>
      <x:c r="D23" s="50"/>
      <x:c r="E23" s="50"/>
      <x:c r="F23" s="58"/>
      <x:c r="G23" s="58"/>
      <x:c r="H23" s="58"/>
      <x:c r="I23" s="58"/>
      <x:c r="J23" s="59" t="str">
        <x:f>IF(A23="","",IF(E23="면적",F23*G23*I23,IF(E23="벽면적",F23*H23*I23,I23)))</x:f>
      </x:c>
      <x:c r="K23" s="57"/>
      <x:c r="L23" s="59" t="str">
        <x:f>IF(A23="","",J23*(1+K23))</x:f>
      </x:c>
      <x:c r="M23" s="58"/>
      <x:c r="N23" s="59" t="str">
        <x:f>IF(A23="","",IF(M23=0,0,ROUNDUP(L23/M23,0)*M23))</x:f>
      </x:c>
    </x:row>
    <x:row r="24">
      <x:c r="A24" s="50"/>
      <x:c r="B24" s="50"/>
      <x:c r="C24" s="50"/>
      <x:c r="D24" s="50"/>
      <x:c r="E24" s="50"/>
      <x:c r="F24" s="58"/>
      <x:c r="G24" s="58"/>
      <x:c r="H24" s="58"/>
      <x:c r="I24" s="58"/>
      <x:c r="J24" s="59" t="str">
        <x:f>IF(A24="","",IF(E24="면적",F24*G24*I24,IF(E24="벽면적",F24*H24*I24,I24)))</x:f>
      </x:c>
      <x:c r="K24" s="57"/>
      <x:c r="L24" s="59" t="str">
        <x:f>IF(A24="","",J24*(1+K24))</x:f>
      </x:c>
      <x:c r="M24" s="58"/>
      <x:c r="N24" s="59" t="str">
        <x:f>IF(A24="","",IF(M24=0,0,ROUNDUP(L24/M24,0)*M24))</x:f>
      </x:c>
    </x:row>
    <x:row r="25">
      <x:c r="A25" s="50"/>
      <x:c r="B25" s="50"/>
      <x:c r="C25" s="50"/>
      <x:c r="D25" s="50"/>
      <x:c r="E25" s="50"/>
      <x:c r="F25" s="58"/>
      <x:c r="G25" s="58"/>
      <x:c r="H25" s="58"/>
      <x:c r="I25" s="58"/>
      <x:c r="J25" s="59" t="str">
        <x:f>IF(A25="","",IF(E25="면적",F25*G25*I25,IF(E25="벽면적",F25*H25*I25,I25)))</x:f>
      </x:c>
      <x:c r="K25" s="57"/>
      <x:c r="L25" s="59" t="str">
        <x:f>IF(A25="","",J25*(1+K25))</x:f>
      </x:c>
      <x:c r="M25" s="58"/>
      <x:c r="N25" s="59" t="str">
        <x:f>IF(A25="","",IF(M25=0,0,ROUNDUP(L25/M25,0)*M25))</x:f>
      </x:c>
    </x:row>
    <x:row r="26">
      <x:c r="A26" s="50"/>
      <x:c r="B26" s="50"/>
      <x:c r="C26" s="50"/>
      <x:c r="D26" s="50"/>
      <x:c r="E26" s="50"/>
      <x:c r="F26" s="58"/>
      <x:c r="G26" s="58"/>
      <x:c r="H26" s="58"/>
      <x:c r="I26" s="58"/>
      <x:c r="J26" s="59" t="str">
        <x:f>IF(A26="","",IF(E26="면적",F26*G26*I26,IF(E26="벽면적",F26*H26*I26,I26)))</x:f>
      </x:c>
      <x:c r="K26" s="57"/>
      <x:c r="L26" s="59" t="str">
        <x:f>IF(A26="","",J26*(1+K26))</x:f>
      </x:c>
      <x:c r="M26" s="58"/>
      <x:c r="N26" s="59" t="str">
        <x:f>IF(A26="","",IF(M26=0,0,ROUNDUP(L26/M26,0)*M26))</x:f>
      </x:c>
    </x:row>
    <x:row r="27">
      <x:c r="A27" s="50"/>
      <x:c r="B27" s="50"/>
      <x:c r="C27" s="50"/>
      <x:c r="D27" s="50"/>
      <x:c r="E27" s="50"/>
      <x:c r="F27" s="58"/>
      <x:c r="G27" s="58"/>
      <x:c r="H27" s="58"/>
      <x:c r="I27" s="58"/>
      <x:c r="J27" s="59" t="str">
        <x:f>IF(A27="","",IF(E27="면적",F27*G27*I27,IF(E27="벽면적",F27*H27*I27,I27)))</x:f>
      </x:c>
      <x:c r="K27" s="57"/>
      <x:c r="L27" s="59" t="str">
        <x:f>IF(A27="","",J27*(1+K27))</x:f>
      </x:c>
      <x:c r="M27" s="58"/>
      <x:c r="N27" s="59" t="str">
        <x:f>IF(A27="","",IF(M27=0,0,ROUNDUP(L27/M27,0)*M27))</x:f>
      </x:c>
    </x:row>
    <x:row r="28">
      <x:c r="A28" s="50"/>
      <x:c r="B28" s="50"/>
      <x:c r="C28" s="50"/>
      <x:c r="D28" s="50"/>
      <x:c r="E28" s="50"/>
      <x:c r="F28" s="58"/>
      <x:c r="G28" s="58"/>
      <x:c r="H28" s="58"/>
      <x:c r="I28" s="58"/>
      <x:c r="J28" s="59" t="str">
        <x:f>IF(A28="","",IF(E28="면적",F28*G28*I28,IF(E28="벽면적",F28*H28*I28,I28)))</x:f>
      </x:c>
      <x:c r="K28" s="57"/>
      <x:c r="L28" s="59" t="str">
        <x:f>IF(A28="","",J28*(1+K28))</x:f>
      </x:c>
      <x:c r="M28" s="58"/>
      <x:c r="N28" s="59" t="str">
        <x:f>IF(A28="","",IF(M28=0,0,ROUNDUP(L28/M28,0)*M28))</x:f>
      </x:c>
    </x:row>
    <x:row r="29">
      <x:c r="A29" s="50"/>
      <x:c r="B29" s="50"/>
      <x:c r="C29" s="50"/>
      <x:c r="D29" s="50"/>
      <x:c r="E29" s="50"/>
      <x:c r="F29" s="58"/>
      <x:c r="G29" s="58"/>
      <x:c r="H29" s="58"/>
      <x:c r="I29" s="58"/>
      <x:c r="J29" s="59" t="str">
        <x:f>IF(A29="","",IF(E29="면적",F29*G29*I29,IF(E29="벽면적",F29*H29*I29,I29)))</x:f>
      </x:c>
      <x:c r="K29" s="57"/>
      <x:c r="L29" s="59" t="str">
        <x:f>IF(A29="","",J29*(1+K29))</x:f>
      </x:c>
      <x:c r="M29" s="58"/>
      <x:c r="N29" s="59" t="str">
        <x:f>IF(A29="","",IF(M29=0,0,ROUNDUP(L29/M29,0)*M29))</x:f>
      </x:c>
    </x:row>
    <x:row r="30">
      <x:c r="A30" s="50"/>
      <x:c r="B30" s="50"/>
      <x:c r="C30" s="50"/>
      <x:c r="D30" s="50"/>
      <x:c r="E30" s="50"/>
      <x:c r="F30" s="58"/>
      <x:c r="G30" s="58"/>
      <x:c r="H30" s="58"/>
      <x:c r="I30" s="58"/>
      <x:c r="J30" s="59" t="str">
        <x:f>IF(A30="","",IF(E30="면적",F30*G30*I30,IF(E30="벽면적",F30*H30*I30,I30)))</x:f>
      </x:c>
      <x:c r="K30" s="57"/>
      <x:c r="L30" s="59" t="str">
        <x:f>IF(A30="","",J30*(1+K30))</x:f>
      </x:c>
      <x:c r="M30" s="58"/>
      <x:c r="N30" s="59" t="str">
        <x:f>IF(A30="","",IF(M30=0,0,ROUNDUP(L30/M30,0)*M30))</x:f>
      </x:c>
    </x:row>
    <x:row r="31">
      <x:c r="A31" s="50"/>
      <x:c r="B31" s="50"/>
      <x:c r="C31" s="50"/>
      <x:c r="D31" s="50"/>
      <x:c r="E31" s="50"/>
      <x:c r="F31" s="58"/>
      <x:c r="G31" s="58"/>
      <x:c r="H31" s="58"/>
      <x:c r="I31" s="58"/>
      <x:c r="J31" s="59" t="str">
        <x:f>IF(A31="","",IF(E31="면적",F31*G31*I31,IF(E31="벽면적",F31*H31*I31,I31)))</x:f>
      </x:c>
      <x:c r="K31" s="57"/>
      <x:c r="L31" s="59" t="str">
        <x:f>IF(A31="","",J31*(1+K31))</x:f>
      </x:c>
      <x:c r="M31" s="58"/>
      <x:c r="N31" s="59" t="str">
        <x:f>IF(A31="","",IF(M31=0,0,ROUNDUP(L31/M31,0)*M31))</x:f>
      </x:c>
    </x:row>
    <x:row r="32">
      <x:c r="A32" s="50"/>
      <x:c r="B32" s="50"/>
      <x:c r="C32" s="50"/>
      <x:c r="D32" s="50"/>
      <x:c r="E32" s="50"/>
      <x:c r="F32" s="58"/>
      <x:c r="G32" s="58"/>
      <x:c r="H32" s="58"/>
      <x:c r="I32" s="58"/>
      <x:c r="J32" s="59" t="str">
        <x:f>IF(A32="","",IF(E32="면적",F32*G32*I32,IF(E32="벽면적",F32*H32*I32,I32)))</x:f>
      </x:c>
      <x:c r="K32" s="57"/>
      <x:c r="L32" s="59" t="str">
        <x:f>IF(A32="","",J32*(1+K32))</x:f>
      </x:c>
      <x:c r="M32" s="58"/>
      <x:c r="N32" s="59" t="str">
        <x:f>IF(A32="","",IF(M32=0,0,ROUNDUP(L32/M32,0)*M32))</x:f>
      </x:c>
    </x:row>
    <x:row r="33">
      <x:c r="A33" s="50"/>
      <x:c r="B33" s="50"/>
      <x:c r="C33" s="50"/>
      <x:c r="D33" s="50"/>
      <x:c r="E33" s="50"/>
      <x:c r="F33" s="58"/>
      <x:c r="G33" s="58"/>
      <x:c r="H33" s="58"/>
      <x:c r="I33" s="58"/>
      <x:c r="J33" s="59" t="str">
        <x:f>IF(A33="","",IF(E33="면적",F33*G33*I33,IF(E33="벽면적",F33*H33*I33,I33)))</x:f>
      </x:c>
      <x:c r="K33" s="57"/>
      <x:c r="L33" s="59" t="str">
        <x:f>IF(A33="","",J33*(1+K33))</x:f>
      </x:c>
      <x:c r="M33" s="58"/>
      <x:c r="N33" s="59" t="str">
        <x:f>IF(A33="","",IF(M33=0,0,ROUNDUP(L33/M33,0)*M33))</x:f>
      </x:c>
    </x:row>
    <x:row r="34">
      <x:c r="A34" s="50"/>
      <x:c r="B34" s="50"/>
      <x:c r="C34" s="50"/>
      <x:c r="D34" s="50"/>
      <x:c r="E34" s="50"/>
      <x:c r="F34" s="58"/>
      <x:c r="G34" s="58"/>
      <x:c r="H34" s="58"/>
      <x:c r="I34" s="58"/>
      <x:c r="J34" s="59" t="str">
        <x:f>IF(A34="","",IF(E34="면적",F34*G34*I34,IF(E34="벽면적",F34*H34*I34,I34)))</x:f>
      </x:c>
      <x:c r="K34" s="57"/>
      <x:c r="L34" s="59" t="str">
        <x:f>IF(A34="","",J34*(1+K34))</x:f>
      </x:c>
      <x:c r="M34" s="58"/>
      <x:c r="N34" s="59" t="str">
        <x:f>IF(A34="","",IF(M34=0,0,ROUNDUP(L34/M34,0)*M34))</x:f>
      </x:c>
    </x:row>
    <x:row r="35">
      <x:c r="A35" s="50"/>
      <x:c r="B35" s="50"/>
      <x:c r="C35" s="50"/>
      <x:c r="D35" s="50"/>
      <x:c r="E35" s="50"/>
      <x:c r="F35" s="58"/>
      <x:c r="G35" s="58"/>
      <x:c r="H35" s="58"/>
      <x:c r="I35" s="58"/>
      <x:c r="J35" s="59" t="str">
        <x:f>IF(A35="","",IF(E35="면적",F35*G35*I35,IF(E35="벽면적",F35*H35*I35,I35)))</x:f>
      </x:c>
      <x:c r="K35" s="57"/>
      <x:c r="L35" s="59" t="str">
        <x:f>IF(A35="","",J35*(1+K35))</x:f>
      </x:c>
      <x:c r="M35" s="58"/>
      <x:c r="N35" s="59" t="str">
        <x:f>IF(A35="","",IF(M35=0,0,ROUNDUP(L35/M35,0)*M35))</x:f>
      </x:c>
    </x:row>
    <x:row r="36">
      <x:c r="A36" s="50"/>
      <x:c r="B36" s="50"/>
      <x:c r="C36" s="50"/>
      <x:c r="D36" s="50"/>
      <x:c r="E36" s="50"/>
      <x:c r="F36" s="58"/>
      <x:c r="G36" s="58"/>
      <x:c r="H36" s="58"/>
      <x:c r="I36" s="58"/>
      <x:c r="J36" s="59" t="str">
        <x:f>IF(A36="","",IF(E36="면적",F36*G36*I36,IF(E36="벽면적",F36*H36*I36,I36)))</x:f>
      </x:c>
      <x:c r="K36" s="57"/>
      <x:c r="L36" s="59" t="str">
        <x:f>IF(A36="","",J36*(1+K36))</x:f>
      </x:c>
      <x:c r="M36" s="58"/>
      <x:c r="N36" s="59" t="str">
        <x:f>IF(A36="","",IF(M36=0,0,ROUNDUP(L36/M36,0)*M36))</x:f>
      </x:c>
    </x:row>
    <x:row r="37">
      <x:c r="A37" s="50"/>
      <x:c r="B37" s="50"/>
      <x:c r="C37" s="50"/>
      <x:c r="D37" s="50"/>
      <x:c r="E37" s="50"/>
      <x:c r="F37" s="58"/>
      <x:c r="G37" s="58"/>
      <x:c r="H37" s="58"/>
      <x:c r="I37" s="58"/>
      <x:c r="J37" s="59" t="str">
        <x:f>IF(A37="","",IF(E37="면적",F37*G37*I37,IF(E37="벽면적",F37*H37*I37,I37)))</x:f>
      </x:c>
      <x:c r="K37" s="57"/>
      <x:c r="L37" s="59" t="str">
        <x:f>IF(A37="","",J37*(1+K37))</x:f>
      </x:c>
      <x:c r="M37" s="58"/>
      <x:c r="N37" s="59" t="str">
        <x:f>IF(A37="","",IF(M37=0,0,ROUNDUP(L37/M37,0)*M37))</x:f>
      </x:c>
    </x:row>
    <x:row r="38">
      <x:c r="A38" s="50"/>
      <x:c r="B38" s="50"/>
      <x:c r="C38" s="50"/>
      <x:c r="D38" s="50"/>
      <x:c r="E38" s="50"/>
      <x:c r="F38" s="58"/>
      <x:c r="G38" s="58"/>
      <x:c r="H38" s="58"/>
      <x:c r="I38" s="58"/>
      <x:c r="J38" s="59" t="str">
        <x:f>IF(A38="","",IF(E38="면적",F38*G38*I38,IF(E38="벽면적",F38*H38*I38,I38)))</x:f>
      </x:c>
      <x:c r="K38" s="57"/>
      <x:c r="L38" s="59" t="str">
        <x:f>IF(A38="","",J38*(1+K38))</x:f>
      </x:c>
      <x:c r="M38" s="58"/>
      <x:c r="N38" s="59" t="str">
        <x:f>IF(A38="","",IF(M38=0,0,ROUNDUP(L38/M38,0)*M38))</x:f>
      </x:c>
    </x:row>
    <x:row r="39">
      <x:c r="A39" s="50"/>
      <x:c r="B39" s="50"/>
      <x:c r="C39" s="50"/>
      <x:c r="D39" s="50"/>
      <x:c r="E39" s="50"/>
      <x:c r="F39" s="58"/>
      <x:c r="G39" s="58"/>
      <x:c r="H39" s="58"/>
      <x:c r="I39" s="58"/>
      <x:c r="J39" s="59" t="str">
        <x:f>IF(A39="","",IF(E39="면적",F39*G39*I39,IF(E39="벽면적",F39*H39*I39,I39)))</x:f>
      </x:c>
      <x:c r="K39" s="57"/>
      <x:c r="L39" s="59" t="str">
        <x:f>IF(A39="","",J39*(1+K39))</x:f>
      </x:c>
      <x:c r="M39" s="58"/>
      <x:c r="N39" s="59" t="str">
        <x:f>IF(A39="","",IF(M39=0,0,ROUNDUP(L39/M39,0)*M39))</x:f>
      </x:c>
    </x:row>
    <x:row r="40">
      <x:c r="A40" s="50"/>
      <x:c r="B40" s="50"/>
      <x:c r="C40" s="50"/>
      <x:c r="D40" s="50"/>
      <x:c r="E40" s="50"/>
      <x:c r="F40" s="58"/>
      <x:c r="G40" s="58"/>
      <x:c r="H40" s="58"/>
      <x:c r="I40" s="58"/>
      <x:c r="J40" s="59" t="str">
        <x:f>IF(A40="","",IF(E40="면적",F40*G40*I40,IF(E40="벽면적",F40*H40*I40,I40)))</x:f>
      </x:c>
      <x:c r="K40" s="57"/>
      <x:c r="L40" s="59" t="str">
        <x:f>IF(A40="","",J40*(1+K40))</x:f>
      </x:c>
      <x:c r="M40" s="58"/>
      <x:c r="N40" s="59" t="str">
        <x:f>IF(A40="","",IF(M40=0,0,ROUNDUP(L40/M40,0)*M40))</x:f>
      </x:c>
    </x:row>
    <x:row r="41">
      <x:c r="A41" s="50"/>
      <x:c r="B41" s="50"/>
      <x:c r="C41" s="50"/>
      <x:c r="D41" s="50"/>
      <x:c r="E41" s="50"/>
      <x:c r="F41" s="58"/>
      <x:c r="G41" s="58"/>
      <x:c r="H41" s="58"/>
      <x:c r="I41" s="58"/>
      <x:c r="J41" s="59" t="str">
        <x:f>IF(A41="","",IF(E41="면적",F41*G41*I41,IF(E41="벽면적",F41*H41*I41,I41)))</x:f>
      </x:c>
      <x:c r="K41" s="57"/>
      <x:c r="L41" s="59" t="str">
        <x:f>IF(A41="","",J41*(1+K41))</x:f>
      </x:c>
      <x:c r="M41" s="58"/>
      <x:c r="N41" s="59" t="str">
        <x:f>IF(A41="","",IF(M41=0,0,ROUNDUP(L41/M41,0)*M41))</x:f>
      </x:c>
    </x:row>
    <x:row r="42">
      <x:c r="A42" s="50"/>
      <x:c r="B42" s="50"/>
      <x:c r="C42" s="50"/>
      <x:c r="D42" s="50"/>
      <x:c r="E42" s="50"/>
      <x:c r="F42" s="58"/>
      <x:c r="G42" s="58"/>
      <x:c r="H42" s="58"/>
      <x:c r="I42" s="58"/>
      <x:c r="J42" s="59" t="str">
        <x:f>IF(A42="","",IF(E42="면적",F42*G42*I42,IF(E42="벽면적",F42*H42*I42,I42)))</x:f>
      </x:c>
      <x:c r="K42" s="57"/>
      <x:c r="L42" s="59" t="str">
        <x:f>IF(A42="","",J42*(1+K42))</x:f>
      </x:c>
      <x:c r="M42" s="58"/>
      <x:c r="N42" s="59" t="str">
        <x:f>IF(A42="","",IF(M42=0,0,ROUNDUP(L42/M42,0)*M42))</x:f>
      </x:c>
    </x:row>
    <x:row r="43">
      <x:c r="A43" s="50"/>
      <x:c r="B43" s="50"/>
      <x:c r="C43" s="50"/>
      <x:c r="D43" s="50"/>
      <x:c r="E43" s="50"/>
      <x:c r="F43" s="58"/>
      <x:c r="G43" s="58"/>
      <x:c r="H43" s="58"/>
      <x:c r="I43" s="58"/>
      <x:c r="J43" s="59" t="str">
        <x:f>IF(A43="","",IF(E43="면적",F43*G43*I43,IF(E43="벽면적",F43*H43*I43,I43)))</x:f>
      </x:c>
      <x:c r="K43" s="57"/>
      <x:c r="L43" s="59" t="str">
        <x:f>IF(A43="","",J43*(1+K43))</x:f>
      </x:c>
      <x:c r="M43" s="58"/>
      <x:c r="N43" s="59" t="str">
        <x:f>IF(A43="","",IF(M43=0,0,ROUNDUP(L43/M43,0)*M43))</x:f>
      </x:c>
    </x:row>
    <x:row r="44">
      <x:c r="A44" s="50"/>
      <x:c r="B44" s="50"/>
      <x:c r="C44" s="50"/>
      <x:c r="D44" s="50"/>
      <x:c r="E44" s="50"/>
      <x:c r="F44" s="58"/>
      <x:c r="G44" s="58"/>
      <x:c r="H44" s="58"/>
      <x:c r="I44" s="58"/>
      <x:c r="J44" s="59" t="str">
        <x:f>IF(A44="","",IF(E44="면적",F44*G44*I44,IF(E44="벽면적",F44*H44*I44,I44)))</x:f>
      </x:c>
      <x:c r="K44" s="57"/>
      <x:c r="L44" s="59" t="str">
        <x:f>IF(A44="","",J44*(1+K44))</x:f>
      </x:c>
      <x:c r="M44" s="58"/>
      <x:c r="N44" s="59" t="str">
        <x:f>IF(A44="","",IF(M44=0,0,ROUNDUP(L44/M44,0)*M44))</x:f>
      </x:c>
    </x:row>
    <x:row r="45">
      <x:c r="A45" s="50"/>
      <x:c r="B45" s="50"/>
      <x:c r="C45" s="50"/>
      <x:c r="D45" s="50"/>
      <x:c r="E45" s="50"/>
      <x:c r="F45" s="58"/>
      <x:c r="G45" s="58"/>
      <x:c r="H45" s="58"/>
      <x:c r="I45" s="58"/>
      <x:c r="J45" s="59" t="str">
        <x:f>IF(A45="","",IF(E45="면적",F45*G45*I45,IF(E45="벽면적",F45*H45*I45,I45)))</x:f>
      </x:c>
      <x:c r="K45" s="57"/>
      <x:c r="L45" s="59" t="str">
        <x:f>IF(A45="","",J45*(1+K45))</x:f>
      </x:c>
      <x:c r="M45" s="58"/>
      <x:c r="N45" s="59" t="str">
        <x:f>IF(A45="","",IF(M45=0,0,ROUNDUP(L45/M45,0)*M45))</x:f>
      </x:c>
    </x:row>
    <x:row r="46">
      <x:c r="A46" s="50"/>
      <x:c r="B46" s="50"/>
      <x:c r="C46" s="50"/>
      <x:c r="D46" s="50"/>
      <x:c r="E46" s="50"/>
      <x:c r="F46" s="58"/>
      <x:c r="G46" s="58"/>
      <x:c r="H46" s="58"/>
      <x:c r="I46" s="58"/>
      <x:c r="J46" s="59" t="str">
        <x:f>IF(A46="","",IF(E46="면적",F46*G46*I46,IF(E46="벽면적",F46*H46*I46,I46)))</x:f>
      </x:c>
      <x:c r="K46" s="57"/>
      <x:c r="L46" s="59" t="str">
        <x:f>IF(A46="","",J46*(1+K46))</x:f>
      </x:c>
      <x:c r="M46" s="58"/>
      <x:c r="N46" s="59" t="str">
        <x:f>IF(A46="","",IF(M46=0,0,ROUNDUP(L46/M46,0)*M46))</x:f>
      </x:c>
    </x:row>
    <x:row r="47">
      <x:c r="A47" s="50"/>
      <x:c r="B47" s="50"/>
      <x:c r="C47" s="50"/>
      <x:c r="D47" s="50"/>
      <x:c r="E47" s="50"/>
      <x:c r="F47" s="58"/>
      <x:c r="G47" s="58"/>
      <x:c r="H47" s="58"/>
      <x:c r="I47" s="58"/>
      <x:c r="J47" s="59" t="str">
        <x:f>IF(A47="","",IF(E47="면적",F47*G47*I47,IF(E47="벽면적",F47*H47*I47,I47)))</x:f>
      </x:c>
      <x:c r="K47" s="57"/>
      <x:c r="L47" s="59" t="str">
        <x:f>IF(A47="","",J47*(1+K47))</x:f>
      </x:c>
      <x:c r="M47" s="58"/>
      <x:c r="N47" s="59" t="str">
        <x:f>IF(A47="","",IF(M47=0,0,ROUNDUP(L47/M47,0)*M47))</x:f>
      </x:c>
    </x:row>
    <x:row r="48">
      <x:c r="A48" s="50"/>
      <x:c r="B48" s="50"/>
      <x:c r="C48" s="50"/>
      <x:c r="D48" s="50"/>
      <x:c r="E48" s="50"/>
      <x:c r="F48" s="58"/>
      <x:c r="G48" s="58"/>
      <x:c r="H48" s="58"/>
      <x:c r="I48" s="58"/>
      <x:c r="J48" s="59" t="str">
        <x:f>IF(A48="","",IF(E48="면적",F48*G48*I48,IF(E48="벽면적",F48*H48*I48,I48)))</x:f>
      </x:c>
      <x:c r="K48" s="57"/>
      <x:c r="L48" s="59" t="str">
        <x:f>IF(A48="","",J48*(1+K48))</x:f>
      </x:c>
      <x:c r="M48" s="58"/>
      <x:c r="N48" s="59" t="str">
        <x:f>IF(A48="","",IF(M48=0,0,ROUNDUP(L48/M48,0)*M48))</x:f>
      </x:c>
    </x:row>
    <x:row r="49">
      <x:c r="A49" s="50"/>
      <x:c r="B49" s="50"/>
      <x:c r="C49" s="50"/>
      <x:c r="D49" s="50"/>
      <x:c r="E49" s="50"/>
      <x:c r="F49" s="58"/>
      <x:c r="G49" s="58"/>
      <x:c r="H49" s="58"/>
      <x:c r="I49" s="58"/>
      <x:c r="J49" s="59" t="str">
        <x:f>IF(A49="","",IF(E49="면적",F49*G49*I49,IF(E49="벽면적",F49*H49*I49,I49)))</x:f>
      </x:c>
      <x:c r="K49" s="57"/>
      <x:c r="L49" s="59" t="str">
        <x:f>IF(A49="","",J49*(1+K49))</x:f>
      </x:c>
      <x:c r="M49" s="58"/>
      <x:c r="N49" s="59" t="str">
        <x:f>IF(A49="","",IF(M49=0,0,ROUNDUP(L49/M49,0)*M49))</x:f>
      </x:c>
    </x:row>
    <x:row r="50">
      <x:c r="A50" s="50"/>
      <x:c r="B50" s="50"/>
      <x:c r="C50" s="50"/>
      <x:c r="D50" s="50"/>
      <x:c r="E50" s="50"/>
      <x:c r="F50" s="58"/>
      <x:c r="G50" s="58"/>
      <x:c r="H50" s="58"/>
      <x:c r="I50" s="58"/>
      <x:c r="J50" s="59" t="str">
        <x:f>IF(A50="","",IF(E50="면적",F50*G50*I50,IF(E50="벽면적",F50*H50*I50,I50)))</x:f>
      </x:c>
      <x:c r="K50" s="57"/>
      <x:c r="L50" s="59" t="str">
        <x:f>IF(A50="","",J50*(1+K50))</x:f>
      </x:c>
      <x:c r="M50" s="58"/>
      <x:c r="N50" s="59" t="str">
        <x:f>IF(A50="","",IF(M50=0,0,ROUNDUP(L50/M50,0)*M50))</x:f>
      </x:c>
    </x:row>
    <x:row r="51">
      <x:c r="A51" s="50"/>
      <x:c r="B51" s="50"/>
      <x:c r="C51" s="50"/>
      <x:c r="D51" s="50"/>
      <x:c r="E51" s="50"/>
      <x:c r="F51" s="58"/>
      <x:c r="G51" s="58"/>
      <x:c r="H51" s="58"/>
      <x:c r="I51" s="58"/>
      <x:c r="J51" s="59" t="str">
        <x:f>IF(A51="","",IF(E51="면적",F51*G51*I51,IF(E51="벽면적",F51*H51*I51,I51)))</x:f>
      </x:c>
      <x:c r="K51" s="57"/>
      <x:c r="L51" s="59" t="str">
        <x:f>IF(A51="","",J51*(1+K51))</x:f>
      </x:c>
      <x:c r="M51" s="58"/>
      <x:c r="N51" s="59" t="str">
        <x:f>IF(A51="","",IF(M51=0,0,ROUNDUP(L51/M51,0)*M51))</x:f>
      </x:c>
    </x:row>
    <x:row r="52">
      <x:c r="A52" s="50"/>
      <x:c r="B52" s="50"/>
      <x:c r="C52" s="50"/>
      <x:c r="D52" s="50"/>
      <x:c r="E52" s="50"/>
      <x:c r="F52" s="58"/>
      <x:c r="G52" s="58"/>
      <x:c r="H52" s="58"/>
      <x:c r="I52" s="58"/>
      <x:c r="J52" s="59" t="str">
        <x:f>IF(A52="","",IF(E52="면적",F52*G52*I52,IF(E52="벽면적",F52*H52*I52,I52)))</x:f>
      </x:c>
      <x:c r="K52" s="57"/>
      <x:c r="L52" s="59" t="str">
        <x:f>IF(A52="","",J52*(1+K52))</x:f>
      </x:c>
      <x:c r="M52" s="58"/>
      <x:c r="N52" s="59" t="str">
        <x:f>IF(A52="","",IF(M52=0,0,ROUNDUP(L52/M52,0)*M52))</x:f>
      </x:c>
    </x:row>
    <x:row r="53">
      <x:c r="A53" s="50"/>
      <x:c r="B53" s="50"/>
      <x:c r="C53" s="50"/>
      <x:c r="D53" s="50"/>
      <x:c r="E53" s="50"/>
      <x:c r="F53" s="58"/>
      <x:c r="G53" s="58"/>
      <x:c r="H53" s="58"/>
      <x:c r="I53" s="58"/>
      <x:c r="J53" s="59" t="str">
        <x:f>IF(A53="","",IF(E53="면적",F53*G53*I53,IF(E53="벽면적",F53*H53*I53,I53)))</x:f>
      </x:c>
      <x:c r="K53" s="57"/>
      <x:c r="L53" s="59" t="str">
        <x:f>IF(A53="","",J53*(1+K53))</x:f>
      </x:c>
      <x:c r="M53" s="58"/>
      <x:c r="N53" s="59" t="str">
        <x:f>IF(A53="","",IF(M53=0,0,ROUNDUP(L53/M53,0)*M53))</x:f>
      </x:c>
    </x:row>
    <x:row r="54">
      <x:c r="A54" s="50"/>
      <x:c r="B54" s="50"/>
      <x:c r="C54" s="50"/>
      <x:c r="D54" s="50"/>
      <x:c r="E54" s="50"/>
      <x:c r="F54" s="58"/>
      <x:c r="G54" s="58"/>
      <x:c r="H54" s="58"/>
      <x:c r="I54" s="58"/>
      <x:c r="J54" s="59" t="str">
        <x:f>IF(A54="","",IF(E54="면적",F54*G54*I54,IF(E54="벽면적",F54*H54*I54,I54)))</x:f>
      </x:c>
      <x:c r="K54" s="57"/>
      <x:c r="L54" s="59" t="str">
        <x:f>IF(A54="","",J54*(1+K54))</x:f>
      </x:c>
      <x:c r="M54" s="58"/>
      <x:c r="N54" s="59" t="str">
        <x:f>IF(A54="","",IF(M54=0,0,ROUNDUP(L54/M54,0)*M54))</x:f>
      </x:c>
    </x:row>
    <x:row r="55">
      <x:c r="A55" s="50"/>
      <x:c r="B55" s="50"/>
      <x:c r="C55" s="50"/>
      <x:c r="D55" s="50"/>
      <x:c r="E55" s="50"/>
      <x:c r="F55" s="58"/>
      <x:c r="G55" s="58"/>
      <x:c r="H55" s="58"/>
      <x:c r="I55" s="58"/>
      <x:c r="J55" s="59" t="str">
        <x:f>IF(A55="","",IF(E55="면적",F55*G55*I55,IF(E55="벽면적",F55*H55*I55,I55)))</x:f>
      </x:c>
      <x:c r="K55" s="57"/>
      <x:c r="L55" s="59" t="str">
        <x:f>IF(A55="","",J55*(1+K55))</x:f>
      </x:c>
      <x:c r="M55" s="58"/>
      <x:c r="N55" s="59" t="str">
        <x:f>IF(A55="","",IF(M55=0,0,ROUNDUP(L55/M55,0)*M55))</x:f>
      </x:c>
    </x:row>
    <x:row r="56">
      <x:c r="A56" s="50"/>
      <x:c r="B56" s="50"/>
      <x:c r="C56" s="50"/>
      <x:c r="D56" s="50"/>
      <x:c r="E56" s="50"/>
      <x:c r="F56" s="58"/>
      <x:c r="G56" s="58"/>
      <x:c r="H56" s="58"/>
      <x:c r="I56" s="58"/>
      <x:c r="J56" s="59" t="str">
        <x:f>IF(A56="","",IF(E56="면적",F56*G56*I56,IF(E56="벽면적",F56*H56*I56,I56)))</x:f>
      </x:c>
      <x:c r="K56" s="57"/>
      <x:c r="L56" s="59" t="str">
        <x:f>IF(A56="","",J56*(1+K56))</x:f>
      </x:c>
      <x:c r="M56" s="58"/>
      <x:c r="N56" s="59" t="str">
        <x:f>IF(A56="","",IF(M56=0,0,ROUNDUP(L56/M56,0)*M56))</x:f>
      </x:c>
    </x:row>
    <x:row r="57">
      <x:c r="A57" s="50"/>
      <x:c r="B57" s="50"/>
      <x:c r="C57" s="50"/>
      <x:c r="D57" s="50"/>
      <x:c r="E57" s="50"/>
      <x:c r="F57" s="58"/>
      <x:c r="G57" s="58"/>
      <x:c r="H57" s="58"/>
      <x:c r="I57" s="58"/>
      <x:c r="J57" s="59" t="str">
        <x:f>IF(A57="","",IF(E57="면적",F57*G57*I57,IF(E57="벽면적",F57*H57*I57,I57)))</x:f>
      </x:c>
      <x:c r="K57" s="57"/>
      <x:c r="L57" s="59" t="str">
        <x:f>IF(A57="","",J57*(1+K57))</x:f>
      </x:c>
      <x:c r="M57" s="58"/>
      <x:c r="N57" s="59" t="str">
        <x:f>IF(A57="","",IF(M57=0,0,ROUNDUP(L57/M57,0)*M57))</x:f>
      </x:c>
    </x:row>
    <x:row r="58">
      <x:c r="A58" s="50"/>
      <x:c r="B58" s="50"/>
      <x:c r="C58" s="50"/>
      <x:c r="D58" s="50"/>
      <x:c r="E58" s="50"/>
      <x:c r="F58" s="58"/>
      <x:c r="G58" s="58"/>
      <x:c r="H58" s="58"/>
      <x:c r="I58" s="58"/>
      <x:c r="J58" s="59" t="str">
        <x:f>IF(A58="","",IF(E58="면적",F58*G58*I58,IF(E58="벽면적",F58*H58*I58,I58)))</x:f>
      </x:c>
      <x:c r="K58" s="57"/>
      <x:c r="L58" s="59" t="str">
        <x:f>IF(A58="","",J58*(1+K58))</x:f>
      </x:c>
      <x:c r="M58" s="58"/>
      <x:c r="N58" s="59" t="str">
        <x:f>IF(A58="","",IF(M58=0,0,ROUNDUP(L58/M58,0)*M58))</x:f>
      </x:c>
    </x:row>
    <x:row r="59">
      <x:c r="A59" s="50"/>
      <x:c r="B59" s="50"/>
      <x:c r="C59" s="50"/>
      <x:c r="D59" s="50"/>
      <x:c r="E59" s="50"/>
      <x:c r="F59" s="58"/>
      <x:c r="G59" s="58"/>
      <x:c r="H59" s="58"/>
      <x:c r="I59" s="58"/>
      <x:c r="J59" s="59" t="str">
        <x:f>IF(A59="","",IF(E59="면적",F59*G59*I59,IF(E59="벽면적",F59*H59*I59,I59)))</x:f>
      </x:c>
      <x:c r="K59" s="57"/>
      <x:c r="L59" s="59" t="str">
        <x:f>IF(A59="","",J59*(1+K59))</x:f>
      </x:c>
      <x:c r="M59" s="58"/>
      <x:c r="N59" s="59" t="str">
        <x:f>IF(A59="","",IF(M59=0,0,ROUNDUP(L59/M59,0)*M59))</x:f>
      </x:c>
    </x:row>
    <x:row r="60">
      <x:c r="A60" s="50"/>
      <x:c r="B60" s="50"/>
      <x:c r="C60" s="50"/>
      <x:c r="D60" s="50"/>
      <x:c r="E60" s="50"/>
      <x:c r="F60" s="58"/>
      <x:c r="G60" s="58"/>
      <x:c r="H60" s="58"/>
      <x:c r="I60" s="58"/>
      <x:c r="J60" s="59" t="str">
        <x:f>IF(A60="","",IF(E60="면적",F60*G60*I60,IF(E60="벽면적",F60*H60*I60,I60)))</x:f>
      </x:c>
      <x:c r="K60" s="57"/>
      <x:c r="L60" s="59" t="str">
        <x:f>IF(A60="","",J60*(1+K60))</x:f>
      </x:c>
      <x:c r="M60" s="58"/>
      <x:c r="N60" s="59" t="str">
        <x:f>IF(A60="","",IF(M60=0,0,ROUNDUP(L60/M60,0)*M60))</x:f>
      </x:c>
    </x:row>
    <x:row r="61">
      <x:c r="A61" s="50"/>
      <x:c r="B61" s="50"/>
      <x:c r="C61" s="50"/>
      <x:c r="D61" s="50"/>
      <x:c r="E61" s="50"/>
      <x:c r="F61" s="58"/>
      <x:c r="G61" s="58"/>
      <x:c r="H61" s="58"/>
      <x:c r="I61" s="58"/>
      <x:c r="J61" s="59" t="str">
        <x:f>IF(A61="","",IF(E61="면적",F61*G61*I61,IF(E61="벽면적",F61*H61*I61,I61)))</x:f>
      </x:c>
      <x:c r="K61" s="57"/>
      <x:c r="L61" s="59" t="str">
        <x:f>IF(A61="","",J61*(1+K61))</x:f>
      </x:c>
      <x:c r="M61" s="58"/>
      <x:c r="N61" s="59" t="str">
        <x:f>IF(A61="","",IF(M61=0,0,ROUNDUP(L61/M61,0)*M61))</x:f>
      </x:c>
    </x:row>
    <x:row r="62">
      <x:c r="A62" s="50"/>
      <x:c r="B62" s="50"/>
      <x:c r="C62" s="50"/>
      <x:c r="D62" s="50"/>
      <x:c r="E62" s="50"/>
      <x:c r="F62" s="58"/>
      <x:c r="G62" s="58"/>
      <x:c r="H62" s="58"/>
      <x:c r="I62" s="58"/>
      <x:c r="J62" s="59" t="str">
        <x:f>IF(A62="","",IF(E62="면적",F62*G62*I62,IF(E62="벽면적",F62*H62*I62,I62)))</x:f>
      </x:c>
      <x:c r="K62" s="57"/>
      <x:c r="L62" s="59" t="str">
        <x:f>IF(A62="","",J62*(1+K62))</x:f>
      </x:c>
      <x:c r="M62" s="58"/>
      <x:c r="N62" s="59" t="str">
        <x:f>IF(A62="","",IF(M62=0,0,ROUNDUP(L62/M62,0)*M62))</x:f>
      </x:c>
    </x:row>
    <x:row r="63">
      <x:c r="A63" s="50"/>
      <x:c r="B63" s="50"/>
      <x:c r="C63" s="50"/>
      <x:c r="D63" s="50"/>
      <x:c r="E63" s="50"/>
      <x:c r="F63" s="58"/>
      <x:c r="G63" s="58"/>
      <x:c r="H63" s="58"/>
      <x:c r="I63" s="58"/>
      <x:c r="J63" s="59" t="str">
        <x:f>IF(A63="","",IF(E63="면적",F63*G63*I63,IF(E63="벽면적",F63*H63*I63,I63)))</x:f>
      </x:c>
      <x:c r="K63" s="57"/>
      <x:c r="L63" s="59" t="str">
        <x:f>IF(A63="","",J63*(1+K63))</x:f>
      </x:c>
      <x:c r="M63" s="58"/>
      <x:c r="N63" s="59" t="str">
        <x:f>IF(A63="","",IF(M63=0,0,ROUNDUP(L63/M63,0)*M63))</x:f>
      </x:c>
    </x:row>
    <x:row r="64">
      <x:c r="A64" s="50"/>
      <x:c r="B64" s="50"/>
      <x:c r="C64" s="50"/>
      <x:c r="D64" s="50"/>
      <x:c r="E64" s="50"/>
      <x:c r="F64" s="58"/>
      <x:c r="G64" s="58"/>
      <x:c r="H64" s="58"/>
      <x:c r="I64" s="58"/>
      <x:c r="J64" s="59" t="str">
        <x:f>IF(A64="","",IF(E64="면적",F64*G64*I64,IF(E64="벽면적",F64*H64*I64,I64)))</x:f>
      </x:c>
      <x:c r="K64" s="57"/>
      <x:c r="L64" s="59" t="str">
        <x:f>IF(A64="","",J64*(1+K64))</x:f>
      </x:c>
      <x:c r="M64" s="58"/>
      <x:c r="N64" s="59" t="str">
        <x:f>IF(A64="","",IF(M64=0,0,ROUNDUP(L64/M64,0)*M64))</x:f>
      </x:c>
    </x:row>
    <x:row r="65">
      <x:c r="A65" s="50"/>
      <x:c r="B65" s="50"/>
      <x:c r="C65" s="50"/>
      <x:c r="D65" s="50"/>
      <x:c r="E65" s="50"/>
      <x:c r="F65" s="58"/>
      <x:c r="G65" s="58"/>
      <x:c r="H65" s="58"/>
      <x:c r="I65" s="58"/>
      <x:c r="J65" s="59" t="str">
        <x:f>IF(A65="","",IF(E65="면적",F65*G65*I65,IF(E65="벽면적",F65*H65*I65,I65)))</x:f>
      </x:c>
      <x:c r="K65" s="57"/>
      <x:c r="L65" s="59" t="str">
        <x:f>IF(A65="","",J65*(1+K65))</x:f>
      </x:c>
      <x:c r="M65" s="58"/>
      <x:c r="N65" s="59" t="str">
        <x:f>IF(A65="","",IF(M65=0,0,ROUNDUP(L65/M65,0)*M65))</x:f>
      </x:c>
    </x:row>
    <x:row r="66">
      <x:c r="A66" s="50"/>
      <x:c r="B66" s="50"/>
      <x:c r="C66" s="50"/>
      <x:c r="D66" s="50"/>
      <x:c r="E66" s="50"/>
      <x:c r="F66" s="58"/>
      <x:c r="G66" s="58"/>
      <x:c r="H66" s="58"/>
      <x:c r="I66" s="58"/>
      <x:c r="J66" s="59" t="str">
        <x:f>IF(A66="","",IF(E66="면적",F66*G66*I66,IF(E66="벽면적",F66*H66*I66,I66)))</x:f>
      </x:c>
      <x:c r="K66" s="57"/>
      <x:c r="L66" s="59" t="str">
        <x:f>IF(A66="","",J66*(1+K66))</x:f>
      </x:c>
      <x:c r="M66" s="58"/>
      <x:c r="N66" s="59" t="str">
        <x:f>IF(A66="","",IF(M66=0,0,ROUNDUP(L66/M66,0)*M66))</x:f>
      </x:c>
    </x:row>
    <x:row r="67">
      <x:c r="A67" s="50"/>
      <x:c r="B67" s="50"/>
      <x:c r="C67" s="50"/>
      <x:c r="D67" s="50"/>
      <x:c r="E67" s="50"/>
      <x:c r="F67" s="58"/>
      <x:c r="G67" s="58"/>
      <x:c r="H67" s="58"/>
      <x:c r="I67" s="58"/>
      <x:c r="J67" s="59" t="str">
        <x:f>IF(A67="","",IF(E67="면적",F67*G67*I67,IF(E67="벽면적",F67*H67*I67,I67)))</x:f>
      </x:c>
      <x:c r="K67" s="57"/>
      <x:c r="L67" s="59" t="str">
        <x:f>IF(A67="","",J67*(1+K67))</x:f>
      </x:c>
      <x:c r="M67" s="58"/>
      <x:c r="N67" s="59" t="str">
        <x:f>IF(A67="","",IF(M67=0,0,ROUNDUP(L67/M67,0)*M67))</x:f>
      </x:c>
    </x:row>
    <x:row r="68">
      <x:c r="A68" s="50"/>
      <x:c r="B68" s="50"/>
      <x:c r="C68" s="50"/>
      <x:c r="D68" s="50"/>
      <x:c r="E68" s="50"/>
      <x:c r="F68" s="58"/>
      <x:c r="G68" s="58"/>
      <x:c r="H68" s="58"/>
      <x:c r="I68" s="58"/>
      <x:c r="J68" s="59" t="str">
        <x:f>IF(A68="","",IF(E68="면적",F68*G68*I68,IF(E68="벽면적",F68*H68*I68,I68)))</x:f>
      </x:c>
      <x:c r="K68" s="57"/>
      <x:c r="L68" s="59" t="str">
        <x:f>IF(A68="","",J68*(1+K68))</x:f>
      </x:c>
      <x:c r="M68" s="58"/>
      <x:c r="N68" s="59" t="str">
        <x:f>IF(A68="","",IF(M68=0,0,ROUNDUP(L68/M68,0)*M68))</x:f>
      </x:c>
    </x:row>
    <x:row r="69">
      <x:c r="A69" s="50"/>
      <x:c r="B69" s="50"/>
      <x:c r="C69" s="50"/>
      <x:c r="D69" s="50"/>
      <x:c r="E69" s="50"/>
      <x:c r="F69" s="58"/>
      <x:c r="G69" s="58"/>
      <x:c r="H69" s="58"/>
      <x:c r="I69" s="58"/>
      <x:c r="J69" s="59" t="str">
        <x:f>IF(A69="","",IF(E69="면적",F69*G69*I69,IF(E69="벽면적",F69*H69*I69,I69)))</x:f>
      </x:c>
      <x:c r="K69" s="57"/>
      <x:c r="L69" s="59" t="str">
        <x:f>IF(A69="","",J69*(1+K69))</x:f>
      </x:c>
      <x:c r="M69" s="58"/>
      <x:c r="N69" s="59" t="str">
        <x:f>IF(A69="","",IF(M69=0,0,ROUNDUP(L69/M69,0)*M69))</x:f>
      </x:c>
    </x:row>
    <x:row r="70">
      <x:c r="A70" s="50"/>
      <x:c r="B70" s="50"/>
      <x:c r="C70" s="50"/>
      <x:c r="D70" s="50"/>
      <x:c r="E70" s="50"/>
      <x:c r="F70" s="58"/>
      <x:c r="G70" s="58"/>
      <x:c r="H70" s="58"/>
      <x:c r="I70" s="58"/>
      <x:c r="J70" s="59" t="str">
        <x:f>IF(A70="","",IF(E70="면적",F70*G70*I70,IF(E70="벽면적",F70*H70*I70,I70)))</x:f>
      </x:c>
      <x:c r="K70" s="57"/>
      <x:c r="L70" s="59" t="str">
        <x:f>IF(A70="","",J70*(1+K70))</x:f>
      </x:c>
      <x:c r="M70" s="58"/>
      <x:c r="N70" s="59" t="str">
        <x:f>IF(A70="","",IF(M70=0,0,ROUNDUP(L70/M70,0)*M70))</x:f>
      </x:c>
    </x:row>
    <x:row r="71">
      <x:c r="A71" s="50"/>
      <x:c r="B71" s="50"/>
      <x:c r="C71" s="50"/>
      <x:c r="D71" s="50"/>
      <x:c r="E71" s="50"/>
      <x:c r="F71" s="58"/>
      <x:c r="G71" s="58"/>
      <x:c r="H71" s="58"/>
      <x:c r="I71" s="58"/>
      <x:c r="J71" s="59" t="str">
        <x:f>IF(A71="","",IF(E71="면적",F71*G71*I71,IF(E71="벽면적",F71*H71*I71,I71)))</x:f>
      </x:c>
      <x:c r="K71" s="57"/>
      <x:c r="L71" s="59" t="str">
        <x:f>IF(A71="","",J71*(1+K71))</x:f>
      </x:c>
      <x:c r="M71" s="58"/>
      <x:c r="N71" s="59" t="str">
        <x:f>IF(A71="","",IF(M71=0,0,ROUNDUP(L71/M71,0)*M71))</x:f>
      </x:c>
    </x:row>
    <x:row r="72">
      <x:c r="A72" s="50"/>
      <x:c r="B72" s="50"/>
      <x:c r="C72" s="50"/>
      <x:c r="D72" s="50"/>
      <x:c r="E72" s="50"/>
      <x:c r="F72" s="58"/>
      <x:c r="G72" s="58"/>
      <x:c r="H72" s="58"/>
      <x:c r="I72" s="58"/>
      <x:c r="J72" s="59" t="str">
        <x:f>IF(A72="","",IF(E72="면적",F72*G72*I72,IF(E72="벽면적",F72*H72*I72,I72)))</x:f>
      </x:c>
      <x:c r="K72" s="57"/>
      <x:c r="L72" s="59" t="str">
        <x:f>IF(A72="","",J72*(1+K72))</x:f>
      </x:c>
      <x:c r="M72" s="58"/>
      <x:c r="N72" s="59" t="str">
        <x:f>IF(A72="","",IF(M72=0,0,ROUNDUP(L72/M72,0)*M72))</x:f>
      </x:c>
    </x:row>
    <x:row r="73">
      <x:c r="A73" s="50"/>
      <x:c r="B73" s="50"/>
      <x:c r="C73" s="50"/>
      <x:c r="D73" s="50"/>
      <x:c r="E73" s="50"/>
      <x:c r="F73" s="58"/>
      <x:c r="G73" s="58"/>
      <x:c r="H73" s="58"/>
      <x:c r="I73" s="58"/>
      <x:c r="J73" s="59" t="str">
        <x:f>IF(A73="","",IF(E73="면적",F73*G73*I73,IF(E73="벽면적",F73*H73*I73,I73)))</x:f>
      </x:c>
      <x:c r="K73" s="57"/>
      <x:c r="L73" s="59" t="str">
        <x:f>IF(A73="","",J73*(1+K73))</x:f>
      </x:c>
      <x:c r="M73" s="58"/>
      <x:c r="N73" s="59" t="str">
        <x:f>IF(A73="","",IF(M73=0,0,ROUNDUP(L73/M73,0)*M73))</x:f>
      </x:c>
    </x:row>
    <x:row r="74">
      <x:c r="A74" s="50"/>
      <x:c r="B74" s="50"/>
      <x:c r="C74" s="50"/>
      <x:c r="D74" s="50"/>
      <x:c r="E74" s="50"/>
      <x:c r="F74" s="58"/>
      <x:c r="G74" s="58"/>
      <x:c r="H74" s="58"/>
      <x:c r="I74" s="58"/>
      <x:c r="J74" s="59" t="str">
        <x:f>IF(A74="","",IF(E74="면적",F74*G74*I74,IF(E74="벽면적",F74*H74*I74,I74)))</x:f>
      </x:c>
      <x:c r="K74" s="57"/>
      <x:c r="L74" s="59" t="str">
        <x:f>IF(A74="","",J74*(1+K74))</x:f>
      </x:c>
      <x:c r="M74" s="58"/>
      <x:c r="N74" s="59" t="str">
        <x:f>IF(A74="","",IF(M74=0,0,ROUNDUP(L74/M74,0)*M74))</x:f>
      </x:c>
    </x:row>
    <x:row r="75">
      <x:c r="A75" s="50"/>
      <x:c r="B75" s="50"/>
      <x:c r="C75" s="50"/>
      <x:c r="D75" s="50"/>
      <x:c r="E75" s="50"/>
      <x:c r="F75" s="58"/>
      <x:c r="G75" s="58"/>
      <x:c r="H75" s="58"/>
      <x:c r="I75" s="58"/>
      <x:c r="J75" s="59" t="str">
        <x:f>IF(A75="","",IF(E75="면적",F75*G75*I75,IF(E75="벽면적",F75*H75*I75,I75)))</x:f>
      </x:c>
      <x:c r="K75" s="57"/>
      <x:c r="L75" s="59" t="str">
        <x:f>IF(A75="","",J75*(1+K75))</x:f>
      </x:c>
      <x:c r="M75" s="58"/>
      <x:c r="N75" s="59" t="str">
        <x:f>IF(A75="","",IF(M75=0,0,ROUNDUP(L75/M75,0)*M75))</x:f>
      </x:c>
    </x:row>
    <x:row r="76">
      <x:c r="A76" s="50"/>
      <x:c r="B76" s="50"/>
      <x:c r="C76" s="50"/>
      <x:c r="D76" s="50"/>
      <x:c r="E76" s="50"/>
      <x:c r="F76" s="58"/>
      <x:c r="G76" s="58"/>
      <x:c r="H76" s="58"/>
      <x:c r="I76" s="58"/>
      <x:c r="J76" s="59" t="str">
        <x:f>IF(A76="","",IF(E76="면적",F76*G76*I76,IF(E76="벽면적",F76*H76*I76,I76)))</x:f>
      </x:c>
      <x:c r="K76" s="57"/>
      <x:c r="L76" s="59" t="str">
        <x:f>IF(A76="","",J76*(1+K76))</x:f>
      </x:c>
      <x:c r="M76" s="58"/>
      <x:c r="N76" s="59" t="str">
        <x:f>IF(A76="","",IF(M76=0,0,ROUNDUP(L76/M76,0)*M76))</x:f>
      </x:c>
    </x:row>
    <x:row r="77">
      <x:c r="A77" s="50"/>
      <x:c r="B77" s="50"/>
      <x:c r="C77" s="50"/>
      <x:c r="D77" s="50"/>
      <x:c r="E77" s="50"/>
      <x:c r="F77" s="58"/>
      <x:c r="G77" s="58"/>
      <x:c r="H77" s="58"/>
      <x:c r="I77" s="58"/>
      <x:c r="J77" s="59" t="str">
        <x:f>IF(A77="","",IF(E77="면적",F77*G77*I77,IF(E77="벽면적",F77*H77*I77,I77)))</x:f>
      </x:c>
      <x:c r="K77" s="57"/>
      <x:c r="L77" s="59" t="str">
        <x:f>IF(A77="","",J77*(1+K77))</x:f>
      </x:c>
      <x:c r="M77" s="58"/>
      <x:c r="N77" s="59" t="str">
        <x:f>IF(A77="","",IF(M77=0,0,ROUNDUP(L77/M77,0)*M77))</x:f>
      </x:c>
    </x:row>
    <x:row r="78">
      <x:c r="A78" s="50"/>
      <x:c r="B78" s="50"/>
      <x:c r="C78" s="50"/>
      <x:c r="D78" s="50"/>
      <x:c r="E78" s="50"/>
      <x:c r="F78" s="58"/>
      <x:c r="G78" s="58"/>
      <x:c r="H78" s="58"/>
      <x:c r="I78" s="58"/>
      <x:c r="J78" s="59" t="str">
        <x:f>IF(A78="","",IF(E78="면적",F78*G78*I78,IF(E78="벽면적",F78*H78*I78,I78)))</x:f>
      </x:c>
      <x:c r="K78" s="57"/>
      <x:c r="L78" s="59" t="str">
        <x:f>IF(A78="","",J78*(1+K78))</x:f>
      </x:c>
      <x:c r="M78" s="58"/>
      <x:c r="N78" s="59" t="str">
        <x:f>IF(A78="","",IF(M78=0,0,ROUNDUP(L78/M78,0)*M78))</x:f>
      </x:c>
    </x:row>
    <x:row r="79">
      <x:c r="A79" s="50"/>
      <x:c r="B79" s="50"/>
      <x:c r="C79" s="50"/>
      <x:c r="D79" s="50"/>
      <x:c r="E79" s="50"/>
      <x:c r="F79" s="58"/>
      <x:c r="G79" s="58"/>
      <x:c r="H79" s="58"/>
      <x:c r="I79" s="58"/>
      <x:c r="J79" s="59" t="str">
        <x:f>IF(A79="","",IF(E79="면적",F79*G79*I79,IF(E79="벽면적",F79*H79*I79,I79)))</x:f>
      </x:c>
      <x:c r="K79" s="57"/>
      <x:c r="L79" s="59" t="str">
        <x:f>IF(A79="","",J79*(1+K79))</x:f>
      </x:c>
      <x:c r="M79" s="58"/>
      <x:c r="N79" s="59" t="str">
        <x:f>IF(A79="","",IF(M79=0,0,ROUNDUP(L79/M79,0)*M79))</x:f>
      </x:c>
    </x:row>
    <x:row r="80">
      <x:c r="A80" s="50"/>
      <x:c r="B80" s="50"/>
      <x:c r="C80" s="50"/>
      <x:c r="D80" s="50"/>
      <x:c r="E80" s="50"/>
      <x:c r="F80" s="58"/>
      <x:c r="G80" s="58"/>
      <x:c r="H80" s="58"/>
      <x:c r="I80" s="58"/>
      <x:c r="J80" s="59" t="str">
        <x:f>IF(A80="","",IF(E80="면적",F80*G80*I80,IF(E80="벽면적",F80*H80*I80,I80)))</x:f>
      </x:c>
      <x:c r="K80" s="57"/>
      <x:c r="L80" s="59" t="str">
        <x:f>IF(A80="","",J80*(1+K80))</x:f>
      </x:c>
      <x:c r="M80" s="58"/>
      <x:c r="N80" s="59" t="str">
        <x:f>IF(A80="","",IF(M80=0,0,ROUNDUP(L80/M80,0)*M80))</x:f>
      </x:c>
    </x:row>
    <x:row r="81">
      <x:c r="A81" s="50"/>
      <x:c r="B81" s="50"/>
      <x:c r="C81" s="50"/>
      <x:c r="D81" s="50"/>
      <x:c r="E81" s="50"/>
      <x:c r="F81" s="58"/>
      <x:c r="G81" s="58"/>
      <x:c r="H81" s="58"/>
      <x:c r="I81" s="58"/>
      <x:c r="J81" s="59" t="str">
        <x:f>IF(A81="","",IF(E81="면적",F81*G81*I81,IF(E81="벽면적",F81*H81*I81,I81)))</x:f>
      </x:c>
      <x:c r="K81" s="57"/>
      <x:c r="L81" s="59" t="str">
        <x:f>IF(A81="","",J81*(1+K81))</x:f>
      </x:c>
      <x:c r="M81" s="58"/>
      <x:c r="N81" s="59" t="str">
        <x:f>IF(A81="","",IF(M81=0,0,ROUNDUP(L81/M81,0)*M81))</x:f>
      </x:c>
    </x:row>
    <x:row r="82">
      <x:c r="A82" s="50"/>
      <x:c r="B82" s="50"/>
      <x:c r="C82" s="50"/>
      <x:c r="D82" s="50"/>
      <x:c r="E82" s="50"/>
      <x:c r="F82" s="58"/>
      <x:c r="G82" s="58"/>
      <x:c r="H82" s="58"/>
      <x:c r="I82" s="58"/>
      <x:c r="J82" s="59" t="str">
        <x:f>IF(A82="","",IF(E82="면적",F82*G82*I82,IF(E82="벽면적",F82*H82*I82,I82)))</x:f>
      </x:c>
      <x:c r="K82" s="57"/>
      <x:c r="L82" s="59" t="str">
        <x:f>IF(A82="","",J82*(1+K82))</x:f>
      </x:c>
      <x:c r="M82" s="58"/>
      <x:c r="N82" s="59" t="str">
        <x:f>IF(A82="","",IF(M82=0,0,ROUNDUP(L82/M82,0)*M82))</x:f>
      </x:c>
    </x:row>
    <x:row r="83">
      <x:c r="A83" s="50"/>
      <x:c r="B83" s="50"/>
      <x:c r="C83" s="50"/>
      <x:c r="D83" s="50"/>
      <x:c r="E83" s="50"/>
      <x:c r="F83" s="58"/>
      <x:c r="G83" s="58"/>
      <x:c r="H83" s="58"/>
      <x:c r="I83" s="58"/>
      <x:c r="J83" s="59" t="str">
        <x:f>IF(A83="","",IF(E83="면적",F83*G83*I83,IF(E83="벽면적",F83*H83*I83,I83)))</x:f>
      </x:c>
      <x:c r="K83" s="57"/>
      <x:c r="L83" s="59" t="str">
        <x:f>IF(A83="","",J83*(1+K83))</x:f>
      </x:c>
      <x:c r="M83" s="58"/>
      <x:c r="N83" s="59" t="str">
        <x:f>IF(A83="","",IF(M83=0,0,ROUNDUP(L83/M83,0)*M83))</x:f>
      </x:c>
    </x:row>
    <x:row r="84">
      <x:c r="A84" s="50"/>
      <x:c r="B84" s="50"/>
      <x:c r="C84" s="50"/>
      <x:c r="D84" s="50"/>
      <x:c r="E84" s="50"/>
      <x:c r="F84" s="58"/>
      <x:c r="G84" s="58"/>
      <x:c r="H84" s="58"/>
      <x:c r="I84" s="58"/>
      <x:c r="J84" s="59" t="str">
        <x:f>IF(A84="","",IF(E84="면적",F84*G84*I84,IF(E84="벽면적",F84*H84*I84,I84)))</x:f>
      </x:c>
      <x:c r="K84" s="57"/>
      <x:c r="L84" s="59" t="str">
        <x:f>IF(A84="","",J84*(1+K84))</x:f>
      </x:c>
      <x:c r="M84" s="58"/>
      <x:c r="N84" s="59" t="str">
        <x:f>IF(A84="","",IF(M84=0,0,ROUNDUP(L84/M84,0)*M84))</x:f>
      </x:c>
    </x:row>
    <x:row r="85">
      <x:c r="A85" s="50"/>
      <x:c r="B85" s="50"/>
      <x:c r="C85" s="50"/>
      <x:c r="D85" s="50"/>
      <x:c r="E85" s="50"/>
      <x:c r="F85" s="58"/>
      <x:c r="G85" s="58"/>
      <x:c r="H85" s="58"/>
      <x:c r="I85" s="58"/>
      <x:c r="J85" s="59" t="str">
        <x:f>IF(A85="","",IF(E85="면적",F85*G85*I85,IF(E85="벽면적",F85*H85*I85,I85)))</x:f>
      </x:c>
      <x:c r="K85" s="57"/>
      <x:c r="L85" s="59" t="str">
        <x:f>IF(A85="","",J85*(1+K85))</x:f>
      </x:c>
      <x:c r="M85" s="58"/>
      <x:c r="N85" s="59" t="str">
        <x:f>IF(A85="","",IF(M85=0,0,ROUNDUP(L85/M85,0)*M85))</x:f>
      </x:c>
    </x:row>
    <x:row r="86">
      <x:c r="A86" s="50"/>
      <x:c r="B86" s="50"/>
      <x:c r="C86" s="50"/>
      <x:c r="D86" s="50"/>
      <x:c r="E86" s="50"/>
      <x:c r="F86" s="58"/>
      <x:c r="G86" s="58"/>
      <x:c r="H86" s="58"/>
      <x:c r="I86" s="58"/>
      <x:c r="J86" s="59" t="str">
        <x:f>IF(A86="","",IF(E86="면적",F86*G86*I86,IF(E86="벽면적",F86*H86*I86,I86)))</x:f>
      </x:c>
      <x:c r="K86" s="57"/>
      <x:c r="L86" s="59" t="str">
        <x:f>IF(A86="","",J86*(1+K86))</x:f>
      </x:c>
      <x:c r="M86" s="58"/>
      <x:c r="N86" s="59" t="str">
        <x:f>IF(A86="","",IF(M86=0,0,ROUNDUP(L86/M86,0)*M86))</x:f>
      </x:c>
    </x:row>
    <x:row r="87">
      <x:c r="A87" s="50"/>
      <x:c r="B87" s="50"/>
      <x:c r="C87" s="50"/>
      <x:c r="D87" s="50"/>
      <x:c r="E87" s="50"/>
      <x:c r="F87" s="58"/>
      <x:c r="G87" s="58"/>
      <x:c r="H87" s="58"/>
      <x:c r="I87" s="58"/>
      <x:c r="J87" s="59" t="str">
        <x:f>IF(A87="","",IF(E87="면적",F87*G87*I87,IF(E87="벽면적",F87*H87*I87,I87)))</x:f>
      </x:c>
      <x:c r="K87" s="57"/>
      <x:c r="L87" s="59" t="str">
        <x:f>IF(A87="","",J87*(1+K87))</x:f>
      </x:c>
      <x:c r="M87" s="58"/>
      <x:c r="N87" s="59" t="str">
        <x:f>IF(A87="","",IF(M87=0,0,ROUNDUP(L87/M87,0)*M87))</x:f>
      </x:c>
    </x:row>
    <x:row r="88">
      <x:c r="A88" s="50"/>
      <x:c r="B88" s="50"/>
      <x:c r="C88" s="50"/>
      <x:c r="D88" s="50"/>
      <x:c r="E88" s="50"/>
      <x:c r="F88" s="58"/>
      <x:c r="G88" s="58"/>
      <x:c r="H88" s="58"/>
      <x:c r="I88" s="58"/>
      <x:c r="J88" s="59" t="str">
        <x:f>IF(A88="","",IF(E88="면적",F88*G88*I88,IF(E88="벽면적",F88*H88*I88,I88)))</x:f>
      </x:c>
      <x:c r="K88" s="57"/>
      <x:c r="L88" s="59" t="str">
        <x:f>IF(A88="","",J88*(1+K88))</x:f>
      </x:c>
      <x:c r="M88" s="58"/>
      <x:c r="N88" s="59" t="str">
        <x:f>IF(A88="","",IF(M88=0,0,ROUNDUP(L88/M88,0)*M88))</x:f>
      </x:c>
    </x:row>
    <x:row r="89">
      <x:c r="A89" s="50"/>
      <x:c r="B89" s="50"/>
      <x:c r="C89" s="50"/>
      <x:c r="D89" s="50"/>
      <x:c r="E89" s="50"/>
      <x:c r="F89" s="58"/>
      <x:c r="G89" s="58"/>
      <x:c r="H89" s="58"/>
      <x:c r="I89" s="58"/>
      <x:c r="J89" s="59" t="str">
        <x:f>IF(A89="","",IF(E89="면적",F89*G89*I89,IF(E89="벽면적",F89*H89*I89,I89)))</x:f>
      </x:c>
      <x:c r="K89" s="57"/>
      <x:c r="L89" s="59" t="str">
        <x:f>IF(A89="","",J89*(1+K89))</x:f>
      </x:c>
      <x:c r="M89" s="58"/>
      <x:c r="N89" s="59" t="str">
        <x:f>IF(A89="","",IF(M89=0,0,ROUNDUP(L89/M89,0)*M89))</x:f>
      </x:c>
    </x:row>
    <x:row r="90">
      <x:c r="A90" s="50"/>
      <x:c r="B90" s="50"/>
      <x:c r="C90" s="50"/>
      <x:c r="D90" s="50"/>
      <x:c r="E90" s="50"/>
      <x:c r="F90" s="58"/>
      <x:c r="G90" s="58"/>
      <x:c r="H90" s="58"/>
      <x:c r="I90" s="58"/>
      <x:c r="J90" s="59" t="str">
        <x:f>IF(A90="","",IF(E90="면적",F90*G90*I90,IF(E90="벽면적",F90*H90*I90,I90)))</x:f>
      </x:c>
      <x:c r="K90" s="57"/>
      <x:c r="L90" s="59" t="str">
        <x:f>IF(A90="","",J90*(1+K90))</x:f>
      </x:c>
      <x:c r="M90" s="58"/>
      <x:c r="N90" s="59" t="str">
        <x:f>IF(A90="","",IF(M90=0,0,ROUNDUP(L90/M90,0)*M90))</x:f>
      </x:c>
    </x:row>
    <x:row r="91">
      <x:c r="A91" s="50"/>
      <x:c r="B91" s="50"/>
      <x:c r="C91" s="50"/>
      <x:c r="D91" s="50"/>
      <x:c r="E91" s="50"/>
      <x:c r="F91" s="58"/>
      <x:c r="G91" s="58"/>
      <x:c r="H91" s="58"/>
      <x:c r="I91" s="58"/>
      <x:c r="J91" s="59" t="str">
        <x:f>IF(A91="","",IF(E91="면적",F91*G91*I91,IF(E91="벽면적",F91*H91*I91,I91)))</x:f>
      </x:c>
      <x:c r="K91" s="57"/>
      <x:c r="L91" s="59" t="str">
        <x:f>IF(A91="","",J91*(1+K91))</x:f>
      </x:c>
      <x:c r="M91" s="58"/>
      <x:c r="N91" s="59" t="str">
        <x:f>IF(A91="","",IF(M91=0,0,ROUNDUP(L91/M91,0)*M91))</x:f>
      </x:c>
    </x:row>
    <x:row r="92">
      <x:c r="A92" s="50"/>
      <x:c r="B92" s="50"/>
      <x:c r="C92" s="50"/>
      <x:c r="D92" s="50"/>
      <x:c r="E92" s="50"/>
      <x:c r="F92" s="58"/>
      <x:c r="G92" s="58"/>
      <x:c r="H92" s="58"/>
      <x:c r="I92" s="58"/>
      <x:c r="J92" s="59" t="str">
        <x:f>IF(A92="","",IF(E92="면적",F92*G92*I92,IF(E92="벽면적",F92*H92*I92,I92)))</x:f>
      </x:c>
      <x:c r="K92" s="57"/>
      <x:c r="L92" s="59" t="str">
        <x:f>IF(A92="","",J92*(1+K92))</x:f>
      </x:c>
      <x:c r="M92" s="58"/>
      <x:c r="N92" s="59" t="str">
        <x:f>IF(A92="","",IF(M92=0,0,ROUNDUP(L92/M92,0)*M92))</x:f>
      </x:c>
    </x:row>
    <x:row r="93">
      <x:c r="A93" s="50"/>
      <x:c r="B93" s="50"/>
      <x:c r="C93" s="50"/>
      <x:c r="D93" s="50"/>
      <x:c r="E93" s="50"/>
      <x:c r="F93" s="58"/>
      <x:c r="G93" s="58"/>
      <x:c r="H93" s="58"/>
      <x:c r="I93" s="58"/>
      <x:c r="J93" s="59" t="str">
        <x:f>IF(A93="","",IF(E93="면적",F93*G93*I93,IF(E93="벽면적",F93*H93*I93,I93)))</x:f>
      </x:c>
      <x:c r="K93" s="57"/>
      <x:c r="L93" s="59" t="str">
        <x:f>IF(A93="","",J93*(1+K93))</x:f>
      </x:c>
      <x:c r="M93" s="58"/>
      <x:c r="N93" s="59" t="str">
        <x:f>IF(A93="","",IF(M93=0,0,ROUNDUP(L93/M93,0)*M93))</x:f>
      </x:c>
    </x:row>
    <x:row r="94">
      <x:c r="A94" s="50"/>
      <x:c r="B94" s="50"/>
      <x:c r="C94" s="50"/>
      <x:c r="D94" s="50"/>
      <x:c r="E94" s="50"/>
      <x:c r="F94" s="58"/>
      <x:c r="G94" s="58"/>
      <x:c r="H94" s="58"/>
      <x:c r="I94" s="58"/>
      <x:c r="J94" s="59" t="str">
        <x:f>IF(A94="","",IF(E94="면적",F94*G94*I94,IF(E94="벽면적",F94*H94*I94,I94)))</x:f>
      </x:c>
      <x:c r="K94" s="57"/>
      <x:c r="L94" s="59" t="str">
        <x:f>IF(A94="","",J94*(1+K94))</x:f>
      </x:c>
      <x:c r="M94" s="58"/>
      <x:c r="N94" s="59" t="str">
        <x:f>IF(A94="","",IF(M94=0,0,ROUNDUP(L94/M94,0)*M94))</x:f>
      </x:c>
    </x:row>
    <x:row r="95">
      <x:c r="A95" s="50"/>
      <x:c r="B95" s="50"/>
      <x:c r="C95" s="50"/>
      <x:c r="D95" s="50"/>
      <x:c r="E95" s="50"/>
      <x:c r="F95" s="58"/>
      <x:c r="G95" s="58"/>
      <x:c r="H95" s="58"/>
      <x:c r="I95" s="58"/>
      <x:c r="J95" s="59" t="str">
        <x:f>IF(A95="","",IF(E95="면적",F95*G95*I95,IF(E95="벽면적",F95*H95*I95,I95)))</x:f>
      </x:c>
      <x:c r="K95" s="57"/>
      <x:c r="L95" s="59" t="str">
        <x:f>IF(A95="","",J95*(1+K95))</x:f>
      </x:c>
      <x:c r="M95" s="58"/>
      <x:c r="N95" s="59" t="str">
        <x:f>IF(A95="","",IF(M95=0,0,ROUNDUP(L95/M95,0)*M95))</x:f>
      </x:c>
    </x:row>
    <x:row r="96">
      <x:c r="A96" s="50"/>
      <x:c r="B96" s="50"/>
      <x:c r="C96" s="50"/>
      <x:c r="D96" s="50"/>
      <x:c r="E96" s="50"/>
      <x:c r="F96" s="58"/>
      <x:c r="G96" s="58"/>
      <x:c r="H96" s="58"/>
      <x:c r="I96" s="58"/>
      <x:c r="J96" s="59" t="str">
        <x:f>IF(A96="","",IF(E96="면적",F96*G96*I96,IF(E96="벽면적",F96*H96*I96,I96)))</x:f>
      </x:c>
      <x:c r="K96" s="57"/>
      <x:c r="L96" s="59" t="str">
        <x:f>IF(A96="","",J96*(1+K96))</x:f>
      </x:c>
      <x:c r="M96" s="58"/>
      <x:c r="N96" s="59" t="str">
        <x:f>IF(A96="","",IF(M96=0,0,ROUNDUP(L96/M96,0)*M96))</x:f>
      </x:c>
    </x:row>
    <x:row r="97">
      <x:c r="A97" s="50"/>
      <x:c r="B97" s="50"/>
      <x:c r="C97" s="50"/>
      <x:c r="D97" s="50"/>
      <x:c r="E97" s="50"/>
      <x:c r="F97" s="58"/>
      <x:c r="G97" s="58"/>
      <x:c r="H97" s="58"/>
      <x:c r="I97" s="58"/>
      <x:c r="J97" s="59" t="str">
        <x:f>IF(A97="","",IF(E97="면적",F97*G97*I97,IF(E97="벽면적",F97*H97*I97,I97)))</x:f>
      </x:c>
      <x:c r="K97" s="57"/>
      <x:c r="L97" s="59" t="str">
        <x:f>IF(A97="","",J97*(1+K97))</x:f>
      </x:c>
      <x:c r="M97" s="58"/>
      <x:c r="N97" s="59" t="str">
        <x:f>IF(A97="","",IF(M97=0,0,ROUNDUP(L97/M97,0)*M97))</x:f>
      </x:c>
    </x:row>
    <x:row r="98">
      <x:c r="A98" s="50"/>
      <x:c r="B98" s="50"/>
      <x:c r="C98" s="50"/>
      <x:c r="D98" s="50"/>
      <x:c r="E98" s="50"/>
      <x:c r="F98" s="58"/>
      <x:c r="G98" s="58"/>
      <x:c r="H98" s="58"/>
      <x:c r="I98" s="58"/>
      <x:c r="J98" s="59" t="str">
        <x:f>IF(A98="","",IF(E98="면적",F98*G98*I98,IF(E98="벽면적",F98*H98*I98,I98)))</x:f>
      </x:c>
      <x:c r="K98" s="57"/>
      <x:c r="L98" s="59" t="str">
        <x:f>IF(A98="","",J98*(1+K98))</x:f>
      </x:c>
      <x:c r="M98" s="58"/>
      <x:c r="N98" s="59" t="str">
        <x:f>IF(A98="","",IF(M98=0,0,ROUNDUP(L98/M98,0)*M98))</x:f>
      </x:c>
    </x:row>
    <x:row r="99">
      <x:c r="A99" s="50"/>
      <x:c r="B99" s="50"/>
      <x:c r="C99" s="50"/>
      <x:c r="D99" s="50"/>
      <x:c r="E99" s="50"/>
      <x:c r="F99" s="58"/>
      <x:c r="G99" s="58"/>
      <x:c r="H99" s="58"/>
      <x:c r="I99" s="58"/>
      <x:c r="J99" s="59" t="str">
        <x:f>IF(A99="","",IF(E99="면적",F99*G99*I99,IF(E99="벽면적",F99*H99*I99,I99)))</x:f>
      </x:c>
      <x:c r="K99" s="57"/>
      <x:c r="L99" s="59" t="str">
        <x:f>IF(A99="","",J99*(1+K99))</x:f>
      </x:c>
      <x:c r="M99" s="58"/>
      <x:c r="N99" s="59" t="str">
        <x:f>IF(A99="","",IF(M99=0,0,ROUNDUP(L99/M99,0)*M99))</x:f>
      </x:c>
    </x:row>
    <x:row r="100">
      <x:c r="A100" s="50"/>
      <x:c r="B100" s="50"/>
      <x:c r="C100" s="50"/>
      <x:c r="D100" s="50"/>
      <x:c r="E100" s="50"/>
      <x:c r="F100" s="58"/>
      <x:c r="G100" s="58"/>
      <x:c r="H100" s="58"/>
      <x:c r="I100" s="58"/>
      <x:c r="J100" s="59" t="str">
        <x:f>IF(A100="","",IF(E100="면적",F100*G100*I100,IF(E100="벽면적",F100*H100*I100,I100)))</x:f>
      </x:c>
      <x:c r="K100" s="57"/>
      <x:c r="L100" s="59" t="str">
        <x:f>IF(A100="","",J100*(1+K100))</x:f>
      </x:c>
      <x:c r="M100" s="58"/>
      <x:c r="N100" s="59" t="str">
        <x:f>IF(A100="","",IF(M100=0,0,ROUNDUP(L100/M100,0)*M100))</x:f>
      </x:c>
    </x:row>
    <x:row r="101">
      <x:c r="A101" s="50"/>
      <x:c r="B101" s="50"/>
      <x:c r="C101" s="50"/>
      <x:c r="D101" s="50"/>
      <x:c r="E101" s="50"/>
      <x:c r="F101" s="58"/>
      <x:c r="G101" s="58"/>
      <x:c r="H101" s="58"/>
      <x:c r="I101" s="58"/>
      <x:c r="J101" s="59" t="str">
        <x:f>IF(A101="","",IF(E101="면적",F101*G101*I101,IF(E101="벽면적",F101*H101*I101,I101)))</x:f>
      </x:c>
      <x:c r="K101" s="57"/>
      <x:c r="L101" s="59" t="str">
        <x:f>IF(A101="","",J101*(1+K101))</x:f>
      </x:c>
      <x:c r="M101" s="58"/>
      <x:c r="N101" s="59" t="str">
        <x:f>IF(A101="","",IF(M101=0,0,ROUNDUP(L101/M101,0)*M101))</x:f>
      </x:c>
    </x:row>
    <x:row r="102">
      <x:c r="A102" s="50"/>
      <x:c r="B102" s="50"/>
      <x:c r="C102" s="50"/>
      <x:c r="D102" s="50"/>
      <x:c r="E102" s="50"/>
      <x:c r="F102" s="58"/>
      <x:c r="G102" s="58"/>
      <x:c r="H102" s="58"/>
      <x:c r="I102" s="58"/>
      <x:c r="J102" s="59" t="str">
        <x:f>IF(A102="","",IF(E102="면적",F102*G102*I102,IF(E102="벽면적",F102*H102*I102,I102)))</x:f>
      </x:c>
      <x:c r="K102" s="57"/>
      <x:c r="L102" s="59" t="str">
        <x:f>IF(A102="","",J102*(1+K102))</x:f>
      </x:c>
      <x:c r="M102" s="58"/>
      <x:c r="N102" s="59" t="str">
        <x:f>IF(A102="","",IF(M102=0,0,ROUNDUP(L102/M102,0)*M102))</x:f>
      </x:c>
    </x:row>
    <x:row r="103">
      <x:c r="A103" s="50"/>
      <x:c r="B103" s="50"/>
      <x:c r="C103" s="50"/>
      <x:c r="D103" s="50"/>
      <x:c r="E103" s="50"/>
      <x:c r="F103" s="58"/>
      <x:c r="G103" s="58"/>
      <x:c r="H103" s="58"/>
      <x:c r="I103" s="58"/>
      <x:c r="J103" s="59" t="str">
        <x:f>IF(A103="","",IF(E103="면적",F103*G103*I103,IF(E103="벽면적",F103*H103*I103,I103)))</x:f>
      </x:c>
      <x:c r="K103" s="57"/>
      <x:c r="L103" s="59" t="str">
        <x:f>IF(A103="","",J103*(1+K103))</x:f>
      </x:c>
      <x:c r="M103" s="58"/>
      <x:c r="N103" s="59" t="str">
        <x:f>IF(A103="","",IF(M103=0,0,ROUNDUP(L103/M103,0)*M103))</x:f>
      </x:c>
    </x:row>
    <x:row r="104">
      <x:c r="A104" s="50"/>
      <x:c r="B104" s="50"/>
      <x:c r="C104" s="50"/>
      <x:c r="D104" s="50"/>
      <x:c r="E104" s="50"/>
      <x:c r="F104" s="58"/>
      <x:c r="G104" s="58"/>
      <x:c r="H104" s="58"/>
      <x:c r="I104" s="58"/>
      <x:c r="J104" s="59" t="str">
        <x:f>IF(A104="","",IF(E104="면적",F104*G104*I104,IF(E104="벽면적",F104*H104*I104,I104)))</x:f>
      </x:c>
      <x:c r="K104" s="57"/>
      <x:c r="L104" s="59" t="str">
        <x:f>IF(A104="","",J104*(1+K104))</x:f>
      </x:c>
      <x:c r="M104" s="58"/>
      <x:c r="N104" s="59" t="str">
        <x:f>IF(A104="","",IF(M104=0,0,ROUNDUP(L104/M104,0)*M104))</x:f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3" hidden="0" customWidth="1"/>
    <x:col min="4" max="4" width="10" hidden="0" customWidth="1"/>
    <x:col min="5" max="5" width="24" hidden="0" customWidth="1"/>
    <x:col min="6" max="6" width="14" hidden="0" customWidth="1"/>
    <x:col min="7" max="7" width="8" hidden="0" customWidth="1"/>
    <x:col min="8" max="8" width="9" hidden="0" customWidth="1"/>
    <x:col min="9" max="9" width="11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5" hidden="0" customWidth="1"/>
    <x:col min="21" max="21" width="15" hidden="0" customWidth="1"/>
    <x:col min="22" max="22" width="13" hidden="0" customWidth="1"/>
    <x:col min="23" max="23" width="26" hidden="0" customWidth="1"/>
    <x:col min="24" max="24" width="28" hidden="0" customWidth="1"/>
    <x:col min="25" max="25" width="16" hidden="0" customWidth="1"/>
  </x:cols>
  <x:sheetData>
    <x:row r="1" ht="34" customHeight="1">
      <x:c r="A1" s="3" t="str">
        <x:v>03 | 공종별 상세 견적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28" customHeight="1">
      <x:c r="A2" s="7" t="str">
        <x:v>자재·노무·장비·운반·폐기물·기타 비용을 분리하고 포함·제외·추가 조건을 기록합니다.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25" customHeight="1">
      <x:c r="A4" s="16" t="str">
        <x:v>ID</x:v>
      </x:c>
      <x:c r="B4" s="17" t="str">
        <x:v>공간</x:v>
      </x:c>
      <x:c r="C4" s="17" t="str">
        <x:v>공종</x:v>
      </x:c>
      <x:c r="D4" s="17" t="str">
        <x:v>구분</x:v>
      </x:c>
      <x:c r="E4" s="17" t="str">
        <x:v>세부 작업</x:v>
      </x:c>
      <x:c r="F4" s="17" t="str">
        <x:v>방식</x:v>
      </x:c>
      <x:c r="G4" s="17" t="str">
        <x:v>안전</x:v>
      </x:c>
      <x:c r="H4" s="17" t="str">
        <x:v>단위</x:v>
      </x:c>
      <x:c r="I4" s="17" t="str">
        <x:v>수량</x:v>
      </x:c>
      <x:c r="J4" s="17" t="str">
        <x:v>자재 단가</x:v>
      </x:c>
      <x:c r="K4" s="17" t="str">
        <x:v>노무 단가</x:v>
      </x:c>
      <x:c r="L4" s="17" t="str">
        <x:v>장비 단가</x:v>
      </x:c>
      <x:c r="M4" s="17" t="str">
        <x:v>운반비</x:v>
      </x:c>
      <x:c r="N4" s="17" t="str">
        <x:v>폐기물비</x:v>
      </x:c>
      <x:c r="O4" s="17" t="str">
        <x:v>기타 경비</x:v>
      </x:c>
      <x:c r="P4" s="17" t="str">
        <x:v>자재비</x:v>
      </x:c>
      <x:c r="Q4" s="17" t="str">
        <x:v>노무비</x:v>
      </x:c>
      <x:c r="R4" s="17" t="str">
        <x:v>장비비</x:v>
      </x:c>
      <x:c r="S4" s="17" t="str">
        <x:v>직접경비</x:v>
      </x:c>
      <x:c r="T4" s="17" t="str">
        <x:v>공급가액</x:v>
      </x:c>
      <x:c r="U4" s="17" t="str">
        <x:v>합계</x:v>
      </x:c>
      <x:c r="V4" s="17" t="str">
        <x:v>부가세</x:v>
      </x:c>
      <x:c r="W4" s="17" t="str">
        <x:v>포함·제외</x:v>
      </x:c>
      <x:c r="X4" s="17" t="str">
        <x:v>추가비용 조건</x:v>
      </x:c>
      <x:c r="Y4" s="18" t="str">
        <x:v>신뢰도</x:v>
      </x:c>
    </x:row>
    <x:row r="5">
      <x:c r="A5" s="50" t="str">
        <x:v>E001</x:v>
      </x:c>
      <x:c r="B5" s="50" t="str">
        <x:v>욕실</x:v>
      </x:c>
      <x:c r="C5" s="50" t="str">
        <x:v>철거</x:v>
      </x:c>
      <x:c r="D5" s="50" t="str">
        <x:v>필수</x:v>
      </x:c>
      <x:c r="E5" s="50" t="str">
        <x:v>기존 타일·도기 철거</x:v>
      </x:c>
      <x:c r="F5" s="50" t="str">
        <x:v>전문가</x:v>
      </x:c>
      <x:c r="G5" s="50" t="str">
        <x:v>D</x:v>
      </x:c>
      <x:c r="H5" s="50" t="str">
        <x:v>식</x:v>
      </x:c>
      <x:c r="I5" s="54" t="n">
        <x:v>1</x:v>
      </x:c>
      <x:c r="J5" s="54" t="n">
        <x:v>0</x:v>
      </x:c>
      <x:c r="K5" s="54" t="n">
        <x:v>0</x:v>
      </x:c>
      <x:c r="L5" s="54" t="n">
        <x:v>0</x:v>
      </x:c>
      <x:c r="M5" s="54" t="n">
        <x:v>0</x:v>
      </x:c>
      <x:c r="N5" s="54" t="n">
        <x:v>0</x:v>
      </x:c>
      <x:c r="O5" s="54" t="n">
        <x:v>0</x:v>
      </x:c>
      <x:c r="P5" s="55" t="n">
        <x:f>IF(A5="","",I5*J5)</x:f>
        <x:v>0</x:v>
      </x:c>
      <x:c r="Q5" s="55" t="n">
        <x:f>IF(A5="","",I5*K5)</x:f>
        <x:v>0</x:v>
      </x:c>
      <x:c r="R5" s="55" t="n">
        <x:f>IF(A5="","",I5*L5)</x:f>
        <x:v>0</x:v>
      </x:c>
      <x:c r="S5" s="55" t="n">
        <x:f>IF(A5="","",SUM(M5:O5))</x:f>
        <x:v>0</x:v>
      </x:c>
      <x:c r="T5" s="55" t="n">
        <x:f>IF(A5="","",SUM(P5:S5))</x:f>
        <x:v>0</x:v>
      </x:c>
      <x:c r="U5" s="55" t="n">
        <x:f>IF(A5="","",T5)</x:f>
        <x:v>0</x:v>
      </x:c>
      <x:c r="V5" s="55" t="n">
        <x:f>IF(A5="","",U5*10%)</x:f>
        <x:v>0</x:v>
      </x:c>
      <x:c r="W5" s="50" t="str">
        <x:v>보양 별도</x:v>
      </x:c>
      <x:c r="X5" s="50" t="str">
        <x:v>엘리베이터·반출 조건 변경</x:v>
      </x:c>
      <x:c r="Y5" s="50" t="str">
        <x:v>L1 초기 예상</x:v>
      </x:c>
    </x:row>
    <x:row r="6">
      <x:c r="A6" s="50" t="str">
        <x:v>E002</x:v>
      </x:c>
      <x:c r="B6" s="50" t="str">
        <x:v>욕실</x:v>
      </x:c>
      <x:c r="C6" s="50" t="str">
        <x:v>타일</x:v>
      </x:c>
      <x:c r="D6" s="50" t="str">
        <x:v>필수</x:v>
      </x:c>
      <x:c r="E6" s="50" t="str">
        <x:v>바닥 타일 시공</x:v>
      </x:c>
      <x:c r="F6" s="50" t="str">
        <x:v>전문가</x:v>
      </x:c>
      <x:c r="G6" s="50" t="str">
        <x:v>D</x:v>
      </x:c>
      <x:c r="H6" s="50" t="str">
        <x:v>㎡</x:v>
      </x:c>
      <x:c r="I6" s="54" t="n">
        <x:v>0</x:v>
      </x:c>
      <x:c r="J6" s="54" t="n">
        <x:v>0</x:v>
      </x:c>
      <x:c r="K6" s="54" t="n">
        <x:v>0</x:v>
      </x:c>
      <x:c r="L6" s="54" t="n">
        <x:v>0</x:v>
      </x:c>
      <x:c r="M6" s="54" t="n">
        <x:v>0</x:v>
      </x:c>
      <x:c r="N6" s="54" t="n">
        <x:v>0</x:v>
      </x:c>
      <x:c r="O6" s="54" t="n">
        <x:v>0</x:v>
      </x:c>
      <x:c r="P6" s="55" t="n">
        <x:f>IF(A6="","",I6*J6)</x:f>
        <x:v>0</x:v>
      </x:c>
      <x:c r="Q6" s="55" t="n">
        <x:f>IF(A6="","",I6*K6)</x:f>
        <x:v>0</x:v>
      </x:c>
      <x:c r="R6" s="55" t="n">
        <x:f>IF(A6="","",I6*L6)</x:f>
        <x:v>0</x:v>
      </x:c>
      <x:c r="S6" s="55" t="n">
        <x:f>IF(A6="","",SUM(M6:O6))</x:f>
        <x:v>0</x:v>
      </x:c>
      <x:c r="T6" s="55" t="n">
        <x:f>IF(A6="","",SUM(P6:S6))</x:f>
        <x:v>0</x:v>
      </x:c>
      <x:c r="U6" s="55" t="n">
        <x:f>IF(A6="","",T6)</x:f>
        <x:v>0</x:v>
      </x:c>
      <x:c r="V6" s="55" t="n">
        <x:f>IF(A6="","",U6*10%)</x:f>
        <x:v>0</x:v>
      </x:c>
      <x:c r="W6" s="50" t="str">
        <x:v>방수 별도</x:v>
      </x:c>
      <x:c r="X6" s="50" t="str">
        <x:v>바탕·구배 보수</x:v>
      </x:c>
      <x:c r="Y6" s="50" t="str">
        <x:v>L1 초기 예상</x:v>
      </x:c>
    </x:row>
    <x:row r="7">
      <x:c r="A7" s="50" t="str">
        <x:v>E003</x:v>
      </x:c>
      <x:c r="B7" s="50" t="str">
        <x:v>거실</x:v>
      </x:c>
      <x:c r="C7" s="50" t="str">
        <x:v>도장</x:v>
      </x:c>
      <x:c r="D7" s="50" t="str">
        <x:v>선택</x:v>
      </x:c>
      <x:c r="E7" s="50" t="str">
        <x:v>벽면 부분 도장</x:v>
      </x:c>
      <x:c r="F7" s="50" t="str">
        <x:v>부분 외주</x:v>
      </x:c>
      <x:c r="G7" s="50" t="str">
        <x:v>C</x:v>
      </x:c>
      <x:c r="H7" s="50" t="str">
        <x:v>㎡</x:v>
      </x:c>
      <x:c r="I7" s="54" t="n">
        <x:v>0</x:v>
      </x:c>
      <x:c r="J7" s="54" t="n">
        <x:v>0</x:v>
      </x:c>
      <x:c r="K7" s="54" t="n">
        <x:v>0</x:v>
      </x:c>
      <x:c r="L7" s="54" t="n">
        <x:v>0</x:v>
      </x:c>
      <x:c r="M7" s="54" t="n">
        <x:v>0</x:v>
      </x:c>
      <x:c r="N7" s="54" t="n">
        <x:v>0</x:v>
      </x:c>
      <x:c r="O7" s="54" t="n">
        <x:v>0</x:v>
      </x:c>
      <x:c r="P7" s="55" t="n">
        <x:f>IF(A7="","",I7*J7)</x:f>
        <x:v>0</x:v>
      </x:c>
      <x:c r="Q7" s="55" t="n">
        <x:f>IF(A7="","",I7*K7)</x:f>
        <x:v>0</x:v>
      </x:c>
      <x:c r="R7" s="55" t="n">
        <x:f>IF(A7="","",I7*L7)</x:f>
        <x:v>0</x:v>
      </x:c>
      <x:c r="S7" s="55" t="n">
        <x:f>IF(A7="","",SUM(M7:O7))</x:f>
        <x:v>0</x:v>
      </x:c>
      <x:c r="T7" s="55" t="n">
        <x:f>IF(A7="","",SUM(P7:S7))</x:f>
        <x:v>0</x:v>
      </x:c>
      <x:c r="U7" s="55" t="n">
        <x:f>IF(A7="","",T7)</x:f>
        <x:v>0</x:v>
      </x:c>
      <x:c r="V7" s="55" t="n">
        <x:f>IF(A7="","",U7*10%)</x:f>
        <x:v>0</x:v>
      </x:c>
      <x:c r="W7" s="50" t="str">
        <x:v>바탕 양호 기준</x:v>
      </x:c>
      <x:c r="X7" s="50" t="str">
        <x:v>균열·면 보수</x:v>
      </x:c>
      <x:c r="Y7" s="50" t="str">
        <x:v>L1 초기 예상</x:v>
      </x:c>
    </x:row>
    <x:row r="8">
      <x:c r="A8" s="50"/>
      <x:c r="B8" s="50"/>
      <x:c r="C8" s="50"/>
      <x:c r="D8" s="50"/>
      <x:c r="E8" s="50"/>
      <x:c r="F8" s="50"/>
      <x:c r="G8" s="50"/>
      <x:c r="H8" s="50"/>
      <x:c r="I8" s="54"/>
      <x:c r="J8" s="54"/>
      <x:c r="K8" s="54"/>
      <x:c r="L8" s="54"/>
      <x:c r="M8" s="54"/>
      <x:c r="N8" s="54"/>
      <x:c r="O8" s="54"/>
      <x:c r="P8" s="55" t="str">
        <x:f>IF(A8="","",I8*J8)</x:f>
      </x:c>
      <x:c r="Q8" s="55" t="str">
        <x:f>IF(A8="","",I8*K8)</x:f>
      </x:c>
      <x:c r="R8" s="55" t="str">
        <x:f>IF(A8="","",I8*L8)</x:f>
      </x:c>
      <x:c r="S8" s="55" t="str">
        <x:f>IF(A8="","",SUM(M8:O8))</x:f>
      </x:c>
      <x:c r="T8" s="55" t="str">
        <x:f>IF(A8="","",SUM(P8:S8))</x:f>
      </x:c>
      <x:c r="U8" s="55" t="str">
        <x:f>IF(A8="","",T8)</x:f>
      </x:c>
      <x:c r="V8" s="55" t="str">
        <x:f>IF(A8="","",U8*10%)</x:f>
      </x:c>
      <x:c r="W8" s="50"/>
      <x:c r="X8" s="50"/>
      <x:c r="Y8" s="50"/>
    </x:row>
    <x:row r="9">
      <x:c r="A9" s="50"/>
      <x:c r="B9" s="50"/>
      <x:c r="C9" s="50"/>
      <x:c r="D9" s="50"/>
      <x:c r="E9" s="50"/>
      <x:c r="F9" s="50"/>
      <x:c r="G9" s="50"/>
      <x:c r="H9" s="50"/>
      <x:c r="I9" s="54"/>
      <x:c r="J9" s="54"/>
      <x:c r="K9" s="54"/>
      <x:c r="L9" s="54"/>
      <x:c r="M9" s="54"/>
      <x:c r="N9" s="54"/>
      <x:c r="O9" s="54"/>
      <x:c r="P9" s="55" t="str">
        <x:f>IF(A9="","",I9*J9)</x:f>
      </x:c>
      <x:c r="Q9" s="55" t="str">
        <x:f>IF(A9="","",I9*K9)</x:f>
      </x:c>
      <x:c r="R9" s="55" t="str">
        <x:f>IF(A9="","",I9*L9)</x:f>
      </x:c>
      <x:c r="S9" s="55" t="str">
        <x:f>IF(A9="","",SUM(M9:O9))</x:f>
      </x:c>
      <x:c r="T9" s="55" t="str">
        <x:f>IF(A9="","",SUM(P9:S9))</x:f>
      </x:c>
      <x:c r="U9" s="55" t="str">
        <x:f>IF(A9="","",T9)</x:f>
      </x:c>
      <x:c r="V9" s="55" t="str">
        <x:f>IF(A9="","",U9*10%)</x:f>
      </x:c>
      <x:c r="W9" s="50"/>
      <x:c r="X9" s="50"/>
      <x:c r="Y9" s="50"/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4"/>
      <x:c r="J10" s="54"/>
      <x:c r="K10" s="54"/>
      <x:c r="L10" s="54"/>
      <x:c r="M10" s="54"/>
      <x:c r="N10" s="54"/>
      <x:c r="O10" s="54"/>
      <x:c r="P10" s="55" t="str">
        <x:f>IF(A10="","",I10*J10)</x:f>
      </x:c>
      <x:c r="Q10" s="55" t="str">
        <x:f>IF(A10="","",I10*K10)</x:f>
      </x:c>
      <x:c r="R10" s="55" t="str">
        <x:f>IF(A10="","",I10*L10)</x:f>
      </x:c>
      <x:c r="S10" s="55" t="str">
        <x:f>IF(A10="","",SUM(M10:O10))</x:f>
      </x:c>
      <x:c r="T10" s="55" t="str">
        <x:f>IF(A10="","",SUM(P10:S10))</x:f>
      </x:c>
      <x:c r="U10" s="55" t="str">
        <x:f>IF(A10="","",T10)</x:f>
      </x:c>
      <x:c r="V10" s="55" t="str">
        <x:f>IF(A10="","",U10*10%)</x:f>
      </x:c>
      <x:c r="W10" s="50"/>
      <x:c r="X10" s="50"/>
      <x:c r="Y10" s="50"/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4"/>
      <x:c r="J11" s="54"/>
      <x:c r="K11" s="54"/>
      <x:c r="L11" s="54"/>
      <x:c r="M11" s="54"/>
      <x:c r="N11" s="54"/>
      <x:c r="O11" s="54"/>
      <x:c r="P11" s="55" t="str">
        <x:f>IF(A11="","",I11*J11)</x:f>
      </x:c>
      <x:c r="Q11" s="55" t="str">
        <x:f>IF(A11="","",I11*K11)</x:f>
      </x:c>
      <x:c r="R11" s="55" t="str">
        <x:f>IF(A11="","",I11*L11)</x:f>
      </x:c>
      <x:c r="S11" s="55" t="str">
        <x:f>IF(A11="","",SUM(M11:O11))</x:f>
      </x:c>
      <x:c r="T11" s="55" t="str">
        <x:f>IF(A11="","",SUM(P11:S11))</x:f>
      </x:c>
      <x:c r="U11" s="55" t="str">
        <x:f>IF(A11="","",T11)</x:f>
      </x:c>
      <x:c r="V11" s="55" t="str">
        <x:f>IF(A11="","",U11*10%)</x:f>
      </x:c>
      <x:c r="W11" s="50"/>
      <x:c r="X11" s="50"/>
      <x:c r="Y11" s="50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4"/>
      <x:c r="J12" s="54"/>
      <x:c r="K12" s="54"/>
      <x:c r="L12" s="54"/>
      <x:c r="M12" s="54"/>
      <x:c r="N12" s="54"/>
      <x:c r="O12" s="54"/>
      <x:c r="P12" s="55" t="str">
        <x:f>IF(A12="","",I12*J12)</x:f>
      </x:c>
      <x:c r="Q12" s="55" t="str">
        <x:f>IF(A12="","",I12*K12)</x:f>
      </x:c>
      <x:c r="R12" s="55" t="str">
        <x:f>IF(A12="","",I12*L12)</x:f>
      </x:c>
      <x:c r="S12" s="55" t="str">
        <x:f>IF(A12="","",SUM(M12:O12))</x:f>
      </x:c>
      <x:c r="T12" s="55" t="str">
        <x:f>IF(A12="","",SUM(P12:S12))</x:f>
      </x:c>
      <x:c r="U12" s="55" t="str">
        <x:f>IF(A12="","",T12)</x:f>
      </x:c>
      <x:c r="V12" s="55" t="str">
        <x:f>IF(A12="","",U12*10%)</x:f>
      </x:c>
      <x:c r="W12" s="50"/>
      <x:c r="X12" s="50"/>
      <x:c r="Y12" s="50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4"/>
      <x:c r="J13" s="54"/>
      <x:c r="K13" s="54"/>
      <x:c r="L13" s="54"/>
      <x:c r="M13" s="54"/>
      <x:c r="N13" s="54"/>
      <x:c r="O13" s="54"/>
      <x:c r="P13" s="55" t="str">
        <x:f>IF(A13="","",I13*J13)</x:f>
      </x:c>
      <x:c r="Q13" s="55" t="str">
        <x:f>IF(A13="","",I13*K13)</x:f>
      </x:c>
      <x:c r="R13" s="55" t="str">
        <x:f>IF(A13="","",I13*L13)</x:f>
      </x:c>
      <x:c r="S13" s="55" t="str">
        <x:f>IF(A13="","",SUM(M13:O13))</x:f>
      </x:c>
      <x:c r="T13" s="55" t="str">
        <x:f>IF(A13="","",SUM(P13:S13))</x:f>
      </x:c>
      <x:c r="U13" s="55" t="str">
        <x:f>IF(A13="","",T13)</x:f>
      </x:c>
      <x:c r="V13" s="55" t="str">
        <x:f>IF(A13="","",U13*10%)</x:f>
      </x:c>
      <x:c r="W13" s="50"/>
      <x:c r="X13" s="50"/>
      <x:c r="Y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4"/>
      <x:c r="J14" s="54"/>
      <x:c r="K14" s="54"/>
      <x:c r="L14" s="54"/>
      <x:c r="M14" s="54"/>
      <x:c r="N14" s="54"/>
      <x:c r="O14" s="54"/>
      <x:c r="P14" s="55" t="str">
        <x:f>IF(A14="","",I14*J14)</x:f>
      </x:c>
      <x:c r="Q14" s="55" t="str">
        <x:f>IF(A14="","",I14*K14)</x:f>
      </x:c>
      <x:c r="R14" s="55" t="str">
        <x:f>IF(A14="","",I14*L14)</x:f>
      </x:c>
      <x:c r="S14" s="55" t="str">
        <x:f>IF(A14="","",SUM(M14:O14))</x:f>
      </x:c>
      <x:c r="T14" s="55" t="str">
        <x:f>IF(A14="","",SUM(P14:S14))</x:f>
      </x:c>
      <x:c r="U14" s="55" t="str">
        <x:f>IF(A14="","",T14)</x:f>
      </x:c>
      <x:c r="V14" s="55" t="str">
        <x:f>IF(A14="","",U14*10%)</x:f>
      </x:c>
      <x:c r="W14" s="50"/>
      <x:c r="X14" s="50"/>
      <x:c r="Y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4"/>
      <x:c r="J15" s="54"/>
      <x:c r="K15" s="54"/>
      <x:c r="L15" s="54"/>
      <x:c r="M15" s="54"/>
      <x:c r="N15" s="54"/>
      <x:c r="O15" s="54"/>
      <x:c r="P15" s="55" t="str">
        <x:f>IF(A15="","",I15*J15)</x:f>
      </x:c>
      <x:c r="Q15" s="55" t="str">
        <x:f>IF(A15="","",I15*K15)</x:f>
      </x:c>
      <x:c r="R15" s="55" t="str">
        <x:f>IF(A15="","",I15*L15)</x:f>
      </x:c>
      <x:c r="S15" s="55" t="str">
        <x:f>IF(A15="","",SUM(M15:O15))</x:f>
      </x:c>
      <x:c r="T15" s="55" t="str">
        <x:f>IF(A15="","",SUM(P15:S15))</x:f>
      </x:c>
      <x:c r="U15" s="55" t="str">
        <x:f>IF(A15="","",T15)</x:f>
      </x:c>
      <x:c r="V15" s="55" t="str">
        <x:f>IF(A15="","",U15*10%)</x:f>
      </x:c>
      <x:c r="W15" s="50"/>
      <x:c r="X15" s="50"/>
      <x:c r="Y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4"/>
      <x:c r="J16" s="54"/>
      <x:c r="K16" s="54"/>
      <x:c r="L16" s="54"/>
      <x:c r="M16" s="54"/>
      <x:c r="N16" s="54"/>
      <x:c r="O16" s="54"/>
      <x:c r="P16" s="55" t="str">
        <x:f>IF(A16="","",I16*J16)</x:f>
      </x:c>
      <x:c r="Q16" s="55" t="str">
        <x:f>IF(A16="","",I16*K16)</x:f>
      </x:c>
      <x:c r="R16" s="55" t="str">
        <x:f>IF(A16="","",I16*L16)</x:f>
      </x:c>
      <x:c r="S16" s="55" t="str">
        <x:f>IF(A16="","",SUM(M16:O16))</x:f>
      </x:c>
      <x:c r="T16" s="55" t="str">
        <x:f>IF(A16="","",SUM(P16:S16))</x:f>
      </x:c>
      <x:c r="U16" s="55" t="str">
        <x:f>IF(A16="","",T16)</x:f>
      </x:c>
      <x:c r="V16" s="55" t="str">
        <x:f>IF(A16="","",U16*10%)</x:f>
      </x:c>
      <x:c r="W16" s="50"/>
      <x:c r="X16" s="50"/>
      <x:c r="Y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4"/>
      <x:c r="J17" s="54"/>
      <x:c r="K17" s="54"/>
      <x:c r="L17" s="54"/>
      <x:c r="M17" s="54"/>
      <x:c r="N17" s="54"/>
      <x:c r="O17" s="54"/>
      <x:c r="P17" s="55" t="str">
        <x:f>IF(A17="","",I17*J17)</x:f>
      </x:c>
      <x:c r="Q17" s="55" t="str">
        <x:f>IF(A17="","",I17*K17)</x:f>
      </x:c>
      <x:c r="R17" s="55" t="str">
        <x:f>IF(A17="","",I17*L17)</x:f>
      </x:c>
      <x:c r="S17" s="55" t="str">
        <x:f>IF(A17="","",SUM(M17:O17))</x:f>
      </x:c>
      <x:c r="T17" s="55" t="str">
        <x:f>IF(A17="","",SUM(P17:S17))</x:f>
      </x:c>
      <x:c r="U17" s="55" t="str">
        <x:f>IF(A17="","",T17)</x:f>
      </x:c>
      <x:c r="V17" s="55" t="str">
        <x:f>IF(A17="","",U17*10%)</x:f>
      </x:c>
      <x:c r="W17" s="50"/>
      <x:c r="X17" s="50"/>
      <x:c r="Y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4"/>
      <x:c r="J18" s="54"/>
      <x:c r="K18" s="54"/>
      <x:c r="L18" s="54"/>
      <x:c r="M18" s="54"/>
      <x:c r="N18" s="54"/>
      <x:c r="O18" s="54"/>
      <x:c r="P18" s="55" t="str">
        <x:f>IF(A18="","",I18*J18)</x:f>
      </x:c>
      <x:c r="Q18" s="55" t="str">
        <x:f>IF(A18="","",I18*K18)</x:f>
      </x:c>
      <x:c r="R18" s="55" t="str">
        <x:f>IF(A18="","",I18*L18)</x:f>
      </x:c>
      <x:c r="S18" s="55" t="str">
        <x:f>IF(A18="","",SUM(M18:O18))</x:f>
      </x:c>
      <x:c r="T18" s="55" t="str">
        <x:f>IF(A18="","",SUM(P18:S18))</x:f>
      </x:c>
      <x:c r="U18" s="55" t="str">
        <x:f>IF(A18="","",T18)</x:f>
      </x:c>
      <x:c r="V18" s="55" t="str">
        <x:f>IF(A18="","",U18*10%)</x:f>
      </x:c>
      <x:c r="W18" s="50"/>
      <x:c r="X18" s="50"/>
      <x:c r="Y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4"/>
      <x:c r="J19" s="54"/>
      <x:c r="K19" s="54"/>
      <x:c r="L19" s="54"/>
      <x:c r="M19" s="54"/>
      <x:c r="N19" s="54"/>
      <x:c r="O19" s="54"/>
      <x:c r="P19" s="55" t="str">
        <x:f>IF(A19="","",I19*J19)</x:f>
      </x:c>
      <x:c r="Q19" s="55" t="str">
        <x:f>IF(A19="","",I19*K19)</x:f>
      </x:c>
      <x:c r="R19" s="55" t="str">
        <x:f>IF(A19="","",I19*L19)</x:f>
      </x:c>
      <x:c r="S19" s="55" t="str">
        <x:f>IF(A19="","",SUM(M19:O19))</x:f>
      </x:c>
      <x:c r="T19" s="55" t="str">
        <x:f>IF(A19="","",SUM(P19:S19))</x:f>
      </x:c>
      <x:c r="U19" s="55" t="str">
        <x:f>IF(A19="","",T19)</x:f>
      </x:c>
      <x:c r="V19" s="55" t="str">
        <x:f>IF(A19="","",U19*10%)</x:f>
      </x:c>
      <x:c r="W19" s="50"/>
      <x:c r="X19" s="50"/>
      <x:c r="Y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4"/>
      <x:c r="J20" s="54"/>
      <x:c r="K20" s="54"/>
      <x:c r="L20" s="54"/>
      <x:c r="M20" s="54"/>
      <x:c r="N20" s="54"/>
      <x:c r="O20" s="54"/>
      <x:c r="P20" s="55" t="str">
        <x:f>IF(A20="","",I20*J20)</x:f>
      </x:c>
      <x:c r="Q20" s="55" t="str">
        <x:f>IF(A20="","",I20*K20)</x:f>
      </x:c>
      <x:c r="R20" s="55" t="str">
        <x:f>IF(A20="","",I20*L20)</x:f>
      </x:c>
      <x:c r="S20" s="55" t="str">
        <x:f>IF(A20="","",SUM(M20:O20))</x:f>
      </x:c>
      <x:c r="T20" s="55" t="str">
        <x:f>IF(A20="","",SUM(P20:S20))</x:f>
      </x:c>
      <x:c r="U20" s="55" t="str">
        <x:f>IF(A20="","",T20)</x:f>
      </x:c>
      <x:c r="V20" s="55" t="str">
        <x:f>IF(A20="","",U20*10%)</x:f>
      </x:c>
      <x:c r="W20" s="50"/>
      <x:c r="X20" s="50"/>
      <x:c r="Y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4"/>
      <x:c r="J21" s="54"/>
      <x:c r="K21" s="54"/>
      <x:c r="L21" s="54"/>
      <x:c r="M21" s="54"/>
      <x:c r="N21" s="54"/>
      <x:c r="O21" s="54"/>
      <x:c r="P21" s="55" t="str">
        <x:f>IF(A21="","",I21*J21)</x:f>
      </x:c>
      <x:c r="Q21" s="55" t="str">
        <x:f>IF(A21="","",I21*K21)</x:f>
      </x:c>
      <x:c r="R21" s="55" t="str">
        <x:f>IF(A21="","",I21*L21)</x:f>
      </x:c>
      <x:c r="S21" s="55" t="str">
        <x:f>IF(A21="","",SUM(M21:O21))</x:f>
      </x:c>
      <x:c r="T21" s="55" t="str">
        <x:f>IF(A21="","",SUM(P21:S21))</x:f>
      </x:c>
      <x:c r="U21" s="55" t="str">
        <x:f>IF(A21="","",T21)</x:f>
      </x:c>
      <x:c r="V21" s="55" t="str">
        <x:f>IF(A21="","",U21*10%)</x:f>
      </x:c>
      <x:c r="W21" s="50"/>
      <x:c r="X21" s="50"/>
      <x:c r="Y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4"/>
      <x:c r="J22" s="54"/>
      <x:c r="K22" s="54"/>
      <x:c r="L22" s="54"/>
      <x:c r="M22" s="54"/>
      <x:c r="N22" s="54"/>
      <x:c r="O22" s="54"/>
      <x:c r="P22" s="55" t="str">
        <x:f>IF(A22="","",I22*J22)</x:f>
      </x:c>
      <x:c r="Q22" s="55" t="str">
        <x:f>IF(A22="","",I22*K22)</x:f>
      </x:c>
      <x:c r="R22" s="55" t="str">
        <x:f>IF(A22="","",I22*L22)</x:f>
      </x:c>
      <x:c r="S22" s="55" t="str">
        <x:f>IF(A22="","",SUM(M22:O22))</x:f>
      </x:c>
      <x:c r="T22" s="55" t="str">
        <x:f>IF(A22="","",SUM(P22:S22))</x:f>
      </x:c>
      <x:c r="U22" s="55" t="str">
        <x:f>IF(A22="","",T22)</x:f>
      </x:c>
      <x:c r="V22" s="55" t="str">
        <x:f>IF(A22="","",U22*10%)</x:f>
      </x:c>
      <x:c r="W22" s="50"/>
      <x:c r="X22" s="50"/>
      <x:c r="Y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4"/>
      <x:c r="J23" s="54"/>
      <x:c r="K23" s="54"/>
      <x:c r="L23" s="54"/>
      <x:c r="M23" s="54"/>
      <x:c r="N23" s="54"/>
      <x:c r="O23" s="54"/>
      <x:c r="P23" s="55" t="str">
        <x:f>IF(A23="","",I23*J23)</x:f>
      </x:c>
      <x:c r="Q23" s="55" t="str">
        <x:f>IF(A23="","",I23*K23)</x:f>
      </x:c>
      <x:c r="R23" s="55" t="str">
        <x:f>IF(A23="","",I23*L23)</x:f>
      </x:c>
      <x:c r="S23" s="55" t="str">
        <x:f>IF(A23="","",SUM(M23:O23))</x:f>
      </x:c>
      <x:c r="T23" s="55" t="str">
        <x:f>IF(A23="","",SUM(P23:S23))</x:f>
      </x:c>
      <x:c r="U23" s="55" t="str">
        <x:f>IF(A23="","",T23)</x:f>
      </x:c>
      <x:c r="V23" s="55" t="str">
        <x:f>IF(A23="","",U23*10%)</x:f>
      </x:c>
      <x:c r="W23" s="50"/>
      <x:c r="X23" s="50"/>
      <x:c r="Y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4"/>
      <x:c r="J24" s="54"/>
      <x:c r="K24" s="54"/>
      <x:c r="L24" s="54"/>
      <x:c r="M24" s="54"/>
      <x:c r="N24" s="54"/>
      <x:c r="O24" s="54"/>
      <x:c r="P24" s="55" t="str">
        <x:f>IF(A24="","",I24*J24)</x:f>
      </x:c>
      <x:c r="Q24" s="55" t="str">
        <x:f>IF(A24="","",I24*K24)</x:f>
      </x:c>
      <x:c r="R24" s="55" t="str">
        <x:f>IF(A24="","",I24*L24)</x:f>
      </x:c>
      <x:c r="S24" s="55" t="str">
        <x:f>IF(A24="","",SUM(M24:O24))</x:f>
      </x:c>
      <x:c r="T24" s="55" t="str">
        <x:f>IF(A24="","",SUM(P24:S24))</x:f>
      </x:c>
      <x:c r="U24" s="55" t="str">
        <x:f>IF(A24="","",T24)</x:f>
      </x:c>
      <x:c r="V24" s="55" t="str">
        <x:f>IF(A24="","",U24*10%)</x:f>
      </x:c>
      <x:c r="W24" s="50"/>
      <x:c r="X24" s="50"/>
      <x:c r="Y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4"/>
      <x:c r="J25" s="54"/>
      <x:c r="K25" s="54"/>
      <x:c r="L25" s="54"/>
      <x:c r="M25" s="54"/>
      <x:c r="N25" s="54"/>
      <x:c r="O25" s="54"/>
      <x:c r="P25" s="55" t="str">
        <x:f>IF(A25="","",I25*J25)</x:f>
      </x:c>
      <x:c r="Q25" s="55" t="str">
        <x:f>IF(A25="","",I25*K25)</x:f>
      </x:c>
      <x:c r="R25" s="55" t="str">
        <x:f>IF(A25="","",I25*L25)</x:f>
      </x:c>
      <x:c r="S25" s="55" t="str">
        <x:f>IF(A25="","",SUM(M25:O25))</x:f>
      </x:c>
      <x:c r="T25" s="55" t="str">
        <x:f>IF(A25="","",SUM(P25:S25))</x:f>
      </x:c>
      <x:c r="U25" s="55" t="str">
        <x:f>IF(A25="","",T25)</x:f>
      </x:c>
      <x:c r="V25" s="55" t="str">
        <x:f>IF(A25="","",U25*10%)</x:f>
      </x:c>
      <x:c r="W25" s="50"/>
      <x:c r="X25" s="50"/>
      <x:c r="Y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4"/>
      <x:c r="J26" s="54"/>
      <x:c r="K26" s="54"/>
      <x:c r="L26" s="54"/>
      <x:c r="M26" s="54"/>
      <x:c r="N26" s="54"/>
      <x:c r="O26" s="54"/>
      <x:c r="P26" s="55" t="str">
        <x:f>IF(A26="","",I26*J26)</x:f>
      </x:c>
      <x:c r="Q26" s="55" t="str">
        <x:f>IF(A26="","",I26*K26)</x:f>
      </x:c>
      <x:c r="R26" s="55" t="str">
        <x:f>IF(A26="","",I26*L26)</x:f>
      </x:c>
      <x:c r="S26" s="55" t="str">
        <x:f>IF(A26="","",SUM(M26:O26))</x:f>
      </x:c>
      <x:c r="T26" s="55" t="str">
        <x:f>IF(A26="","",SUM(P26:S26))</x:f>
      </x:c>
      <x:c r="U26" s="55" t="str">
        <x:f>IF(A26="","",T26)</x:f>
      </x:c>
      <x:c r="V26" s="55" t="str">
        <x:f>IF(A26="","",U26*10%)</x:f>
      </x:c>
      <x:c r="W26" s="50"/>
      <x:c r="X26" s="50"/>
      <x:c r="Y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4"/>
      <x:c r="J27" s="54"/>
      <x:c r="K27" s="54"/>
      <x:c r="L27" s="54"/>
      <x:c r="M27" s="54"/>
      <x:c r="N27" s="54"/>
      <x:c r="O27" s="54"/>
      <x:c r="P27" s="55" t="str">
        <x:f>IF(A27="","",I27*J27)</x:f>
      </x:c>
      <x:c r="Q27" s="55" t="str">
        <x:f>IF(A27="","",I27*K27)</x:f>
      </x:c>
      <x:c r="R27" s="55" t="str">
        <x:f>IF(A27="","",I27*L27)</x:f>
      </x:c>
      <x:c r="S27" s="55" t="str">
        <x:f>IF(A27="","",SUM(M27:O27))</x:f>
      </x:c>
      <x:c r="T27" s="55" t="str">
        <x:f>IF(A27="","",SUM(P27:S27))</x:f>
      </x:c>
      <x:c r="U27" s="55" t="str">
        <x:f>IF(A27="","",T27)</x:f>
      </x:c>
      <x:c r="V27" s="55" t="str">
        <x:f>IF(A27="","",U27*10%)</x:f>
      </x:c>
      <x:c r="W27" s="50"/>
      <x:c r="X27" s="50"/>
      <x:c r="Y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4"/>
      <x:c r="J28" s="54"/>
      <x:c r="K28" s="54"/>
      <x:c r="L28" s="54"/>
      <x:c r="M28" s="54"/>
      <x:c r="N28" s="54"/>
      <x:c r="O28" s="54"/>
      <x:c r="P28" s="55" t="str">
        <x:f>IF(A28="","",I28*J28)</x:f>
      </x:c>
      <x:c r="Q28" s="55" t="str">
        <x:f>IF(A28="","",I28*K28)</x:f>
      </x:c>
      <x:c r="R28" s="55" t="str">
        <x:f>IF(A28="","",I28*L28)</x:f>
      </x:c>
      <x:c r="S28" s="55" t="str">
        <x:f>IF(A28="","",SUM(M28:O28))</x:f>
      </x:c>
      <x:c r="T28" s="55" t="str">
        <x:f>IF(A28="","",SUM(P28:S28))</x:f>
      </x:c>
      <x:c r="U28" s="55" t="str">
        <x:f>IF(A28="","",T28)</x:f>
      </x:c>
      <x:c r="V28" s="55" t="str">
        <x:f>IF(A28="","",U28*10%)</x:f>
      </x:c>
      <x:c r="W28" s="50"/>
      <x:c r="X28" s="50"/>
      <x:c r="Y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4"/>
      <x:c r="J29" s="54"/>
      <x:c r="K29" s="54"/>
      <x:c r="L29" s="54"/>
      <x:c r="M29" s="54"/>
      <x:c r="N29" s="54"/>
      <x:c r="O29" s="54"/>
      <x:c r="P29" s="55" t="str">
        <x:f>IF(A29="","",I29*J29)</x:f>
      </x:c>
      <x:c r="Q29" s="55" t="str">
        <x:f>IF(A29="","",I29*K29)</x:f>
      </x:c>
      <x:c r="R29" s="55" t="str">
        <x:f>IF(A29="","",I29*L29)</x:f>
      </x:c>
      <x:c r="S29" s="55" t="str">
        <x:f>IF(A29="","",SUM(M29:O29))</x:f>
      </x:c>
      <x:c r="T29" s="55" t="str">
        <x:f>IF(A29="","",SUM(P29:S29))</x:f>
      </x:c>
      <x:c r="U29" s="55" t="str">
        <x:f>IF(A29="","",T29)</x:f>
      </x:c>
      <x:c r="V29" s="55" t="str">
        <x:f>IF(A29="","",U29*10%)</x:f>
      </x:c>
      <x:c r="W29" s="50"/>
      <x:c r="X29" s="50"/>
      <x:c r="Y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4"/>
      <x:c r="J30" s="54"/>
      <x:c r="K30" s="54"/>
      <x:c r="L30" s="54"/>
      <x:c r="M30" s="54"/>
      <x:c r="N30" s="54"/>
      <x:c r="O30" s="54"/>
      <x:c r="P30" s="55" t="str">
        <x:f>IF(A30="","",I30*J30)</x:f>
      </x:c>
      <x:c r="Q30" s="55" t="str">
        <x:f>IF(A30="","",I30*K30)</x:f>
      </x:c>
      <x:c r="R30" s="55" t="str">
        <x:f>IF(A30="","",I30*L30)</x:f>
      </x:c>
      <x:c r="S30" s="55" t="str">
        <x:f>IF(A30="","",SUM(M30:O30))</x:f>
      </x:c>
      <x:c r="T30" s="55" t="str">
        <x:f>IF(A30="","",SUM(P30:S30))</x:f>
      </x:c>
      <x:c r="U30" s="55" t="str">
        <x:f>IF(A30="","",T30)</x:f>
      </x:c>
      <x:c r="V30" s="55" t="str">
        <x:f>IF(A30="","",U30*10%)</x:f>
      </x:c>
      <x:c r="W30" s="50"/>
      <x:c r="X30" s="50"/>
      <x:c r="Y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4"/>
      <x:c r="J31" s="54"/>
      <x:c r="K31" s="54"/>
      <x:c r="L31" s="54"/>
      <x:c r="M31" s="54"/>
      <x:c r="N31" s="54"/>
      <x:c r="O31" s="54"/>
      <x:c r="P31" s="55" t="str">
        <x:f>IF(A31="","",I31*J31)</x:f>
      </x:c>
      <x:c r="Q31" s="55" t="str">
        <x:f>IF(A31="","",I31*K31)</x:f>
      </x:c>
      <x:c r="R31" s="55" t="str">
        <x:f>IF(A31="","",I31*L31)</x:f>
      </x:c>
      <x:c r="S31" s="55" t="str">
        <x:f>IF(A31="","",SUM(M31:O31))</x:f>
      </x:c>
      <x:c r="T31" s="55" t="str">
        <x:f>IF(A31="","",SUM(P31:S31))</x:f>
      </x:c>
      <x:c r="U31" s="55" t="str">
        <x:f>IF(A31="","",T31)</x:f>
      </x:c>
      <x:c r="V31" s="55" t="str">
        <x:f>IF(A31="","",U31*10%)</x:f>
      </x:c>
      <x:c r="W31" s="50"/>
      <x:c r="X31" s="50"/>
      <x:c r="Y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4"/>
      <x:c r="J32" s="54"/>
      <x:c r="K32" s="54"/>
      <x:c r="L32" s="54"/>
      <x:c r="M32" s="54"/>
      <x:c r="N32" s="54"/>
      <x:c r="O32" s="54"/>
      <x:c r="P32" s="55" t="str">
        <x:f>IF(A32="","",I32*J32)</x:f>
      </x:c>
      <x:c r="Q32" s="55" t="str">
        <x:f>IF(A32="","",I32*K32)</x:f>
      </x:c>
      <x:c r="R32" s="55" t="str">
        <x:f>IF(A32="","",I32*L32)</x:f>
      </x:c>
      <x:c r="S32" s="55" t="str">
        <x:f>IF(A32="","",SUM(M32:O32))</x:f>
      </x:c>
      <x:c r="T32" s="55" t="str">
        <x:f>IF(A32="","",SUM(P32:S32))</x:f>
      </x:c>
      <x:c r="U32" s="55" t="str">
        <x:f>IF(A32="","",T32)</x:f>
      </x:c>
      <x:c r="V32" s="55" t="str">
        <x:f>IF(A32="","",U32*10%)</x:f>
      </x:c>
      <x:c r="W32" s="50"/>
      <x:c r="X32" s="50"/>
      <x:c r="Y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4"/>
      <x:c r="J33" s="54"/>
      <x:c r="K33" s="54"/>
      <x:c r="L33" s="54"/>
      <x:c r="M33" s="54"/>
      <x:c r="N33" s="54"/>
      <x:c r="O33" s="54"/>
      <x:c r="P33" s="55" t="str">
        <x:f>IF(A33="","",I33*J33)</x:f>
      </x:c>
      <x:c r="Q33" s="55" t="str">
        <x:f>IF(A33="","",I33*K33)</x:f>
      </x:c>
      <x:c r="R33" s="55" t="str">
        <x:f>IF(A33="","",I33*L33)</x:f>
      </x:c>
      <x:c r="S33" s="55" t="str">
        <x:f>IF(A33="","",SUM(M33:O33))</x:f>
      </x:c>
      <x:c r="T33" s="55" t="str">
        <x:f>IF(A33="","",SUM(P33:S33))</x:f>
      </x:c>
      <x:c r="U33" s="55" t="str">
        <x:f>IF(A33="","",T33)</x:f>
      </x:c>
      <x:c r="V33" s="55" t="str">
        <x:f>IF(A33="","",U33*10%)</x:f>
      </x:c>
      <x:c r="W33" s="50"/>
      <x:c r="X33" s="50"/>
      <x:c r="Y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4"/>
      <x:c r="J34" s="54"/>
      <x:c r="K34" s="54"/>
      <x:c r="L34" s="54"/>
      <x:c r="M34" s="54"/>
      <x:c r="N34" s="54"/>
      <x:c r="O34" s="54"/>
      <x:c r="P34" s="55" t="str">
        <x:f>IF(A34="","",I34*J34)</x:f>
      </x:c>
      <x:c r="Q34" s="55" t="str">
        <x:f>IF(A34="","",I34*K34)</x:f>
      </x:c>
      <x:c r="R34" s="55" t="str">
        <x:f>IF(A34="","",I34*L34)</x:f>
      </x:c>
      <x:c r="S34" s="55" t="str">
        <x:f>IF(A34="","",SUM(M34:O34))</x:f>
      </x:c>
      <x:c r="T34" s="55" t="str">
        <x:f>IF(A34="","",SUM(P34:S34))</x:f>
      </x:c>
      <x:c r="U34" s="55" t="str">
        <x:f>IF(A34="","",T34)</x:f>
      </x:c>
      <x:c r="V34" s="55" t="str">
        <x:f>IF(A34="","",U34*10%)</x:f>
      </x:c>
      <x:c r="W34" s="50"/>
      <x:c r="X34" s="50"/>
      <x:c r="Y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4"/>
      <x:c r="J35" s="54"/>
      <x:c r="K35" s="54"/>
      <x:c r="L35" s="54"/>
      <x:c r="M35" s="54"/>
      <x:c r="N35" s="54"/>
      <x:c r="O35" s="54"/>
      <x:c r="P35" s="55" t="str">
        <x:f>IF(A35="","",I35*J35)</x:f>
      </x:c>
      <x:c r="Q35" s="55" t="str">
        <x:f>IF(A35="","",I35*K35)</x:f>
      </x:c>
      <x:c r="R35" s="55" t="str">
        <x:f>IF(A35="","",I35*L35)</x:f>
      </x:c>
      <x:c r="S35" s="55" t="str">
        <x:f>IF(A35="","",SUM(M35:O35))</x:f>
      </x:c>
      <x:c r="T35" s="55" t="str">
        <x:f>IF(A35="","",SUM(P35:S35))</x:f>
      </x:c>
      <x:c r="U35" s="55" t="str">
        <x:f>IF(A35="","",T35)</x:f>
      </x:c>
      <x:c r="V35" s="55" t="str">
        <x:f>IF(A35="","",U35*10%)</x:f>
      </x:c>
      <x:c r="W35" s="50"/>
      <x:c r="X35" s="50"/>
      <x:c r="Y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4"/>
      <x:c r="J36" s="54"/>
      <x:c r="K36" s="54"/>
      <x:c r="L36" s="54"/>
      <x:c r="M36" s="54"/>
      <x:c r="N36" s="54"/>
      <x:c r="O36" s="54"/>
      <x:c r="P36" s="55" t="str">
        <x:f>IF(A36="","",I36*J36)</x:f>
      </x:c>
      <x:c r="Q36" s="55" t="str">
        <x:f>IF(A36="","",I36*K36)</x:f>
      </x:c>
      <x:c r="R36" s="55" t="str">
        <x:f>IF(A36="","",I36*L36)</x:f>
      </x:c>
      <x:c r="S36" s="55" t="str">
        <x:f>IF(A36="","",SUM(M36:O36))</x:f>
      </x:c>
      <x:c r="T36" s="55" t="str">
        <x:f>IF(A36="","",SUM(P36:S36))</x:f>
      </x:c>
      <x:c r="U36" s="55" t="str">
        <x:f>IF(A36="","",T36)</x:f>
      </x:c>
      <x:c r="V36" s="55" t="str">
        <x:f>IF(A36="","",U36*10%)</x:f>
      </x:c>
      <x:c r="W36" s="50"/>
      <x:c r="X36" s="50"/>
      <x:c r="Y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4"/>
      <x:c r="J37" s="54"/>
      <x:c r="K37" s="54"/>
      <x:c r="L37" s="54"/>
      <x:c r="M37" s="54"/>
      <x:c r="N37" s="54"/>
      <x:c r="O37" s="54"/>
      <x:c r="P37" s="55" t="str">
        <x:f>IF(A37="","",I37*J37)</x:f>
      </x:c>
      <x:c r="Q37" s="55" t="str">
        <x:f>IF(A37="","",I37*K37)</x:f>
      </x:c>
      <x:c r="R37" s="55" t="str">
        <x:f>IF(A37="","",I37*L37)</x:f>
      </x:c>
      <x:c r="S37" s="55" t="str">
        <x:f>IF(A37="","",SUM(M37:O37))</x:f>
      </x:c>
      <x:c r="T37" s="55" t="str">
        <x:f>IF(A37="","",SUM(P37:S37))</x:f>
      </x:c>
      <x:c r="U37" s="55" t="str">
        <x:f>IF(A37="","",T37)</x:f>
      </x:c>
      <x:c r="V37" s="55" t="str">
        <x:f>IF(A37="","",U37*10%)</x:f>
      </x:c>
      <x:c r="W37" s="50"/>
      <x:c r="X37" s="50"/>
      <x:c r="Y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4"/>
      <x:c r="J38" s="54"/>
      <x:c r="K38" s="54"/>
      <x:c r="L38" s="54"/>
      <x:c r="M38" s="54"/>
      <x:c r="N38" s="54"/>
      <x:c r="O38" s="54"/>
      <x:c r="P38" s="55" t="str">
        <x:f>IF(A38="","",I38*J38)</x:f>
      </x:c>
      <x:c r="Q38" s="55" t="str">
        <x:f>IF(A38="","",I38*K38)</x:f>
      </x:c>
      <x:c r="R38" s="55" t="str">
        <x:f>IF(A38="","",I38*L38)</x:f>
      </x:c>
      <x:c r="S38" s="55" t="str">
        <x:f>IF(A38="","",SUM(M38:O38))</x:f>
      </x:c>
      <x:c r="T38" s="55" t="str">
        <x:f>IF(A38="","",SUM(P38:S38))</x:f>
      </x:c>
      <x:c r="U38" s="55" t="str">
        <x:f>IF(A38="","",T38)</x:f>
      </x:c>
      <x:c r="V38" s="55" t="str">
        <x:f>IF(A38="","",U38*10%)</x:f>
      </x:c>
      <x:c r="W38" s="50"/>
      <x:c r="X38" s="50"/>
      <x:c r="Y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4"/>
      <x:c r="J39" s="54"/>
      <x:c r="K39" s="54"/>
      <x:c r="L39" s="54"/>
      <x:c r="M39" s="54"/>
      <x:c r="N39" s="54"/>
      <x:c r="O39" s="54"/>
      <x:c r="P39" s="55" t="str">
        <x:f>IF(A39="","",I39*J39)</x:f>
      </x:c>
      <x:c r="Q39" s="55" t="str">
        <x:f>IF(A39="","",I39*K39)</x:f>
      </x:c>
      <x:c r="R39" s="55" t="str">
        <x:f>IF(A39="","",I39*L39)</x:f>
      </x:c>
      <x:c r="S39" s="55" t="str">
        <x:f>IF(A39="","",SUM(M39:O39))</x:f>
      </x:c>
      <x:c r="T39" s="55" t="str">
        <x:f>IF(A39="","",SUM(P39:S39))</x:f>
      </x:c>
      <x:c r="U39" s="55" t="str">
        <x:f>IF(A39="","",T39)</x:f>
      </x:c>
      <x:c r="V39" s="55" t="str">
        <x:f>IF(A39="","",U39*10%)</x:f>
      </x:c>
      <x:c r="W39" s="50"/>
      <x:c r="X39" s="50"/>
      <x:c r="Y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4"/>
      <x:c r="J40" s="54"/>
      <x:c r="K40" s="54"/>
      <x:c r="L40" s="54"/>
      <x:c r="M40" s="54"/>
      <x:c r="N40" s="54"/>
      <x:c r="O40" s="54"/>
      <x:c r="P40" s="55" t="str">
        <x:f>IF(A40="","",I40*J40)</x:f>
      </x:c>
      <x:c r="Q40" s="55" t="str">
        <x:f>IF(A40="","",I40*K40)</x:f>
      </x:c>
      <x:c r="R40" s="55" t="str">
        <x:f>IF(A40="","",I40*L40)</x:f>
      </x:c>
      <x:c r="S40" s="55" t="str">
        <x:f>IF(A40="","",SUM(M40:O40))</x:f>
      </x:c>
      <x:c r="T40" s="55" t="str">
        <x:f>IF(A40="","",SUM(P40:S40))</x:f>
      </x:c>
      <x:c r="U40" s="55" t="str">
        <x:f>IF(A40="","",T40)</x:f>
      </x:c>
      <x:c r="V40" s="55" t="str">
        <x:f>IF(A40="","",U40*10%)</x:f>
      </x:c>
      <x:c r="W40" s="50"/>
      <x:c r="X40" s="50"/>
      <x:c r="Y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4"/>
      <x:c r="J41" s="54"/>
      <x:c r="K41" s="54"/>
      <x:c r="L41" s="54"/>
      <x:c r="M41" s="54"/>
      <x:c r="N41" s="54"/>
      <x:c r="O41" s="54"/>
      <x:c r="P41" s="55" t="str">
        <x:f>IF(A41="","",I41*J41)</x:f>
      </x:c>
      <x:c r="Q41" s="55" t="str">
        <x:f>IF(A41="","",I41*K41)</x:f>
      </x:c>
      <x:c r="R41" s="55" t="str">
        <x:f>IF(A41="","",I41*L41)</x:f>
      </x:c>
      <x:c r="S41" s="55" t="str">
        <x:f>IF(A41="","",SUM(M41:O41))</x:f>
      </x:c>
      <x:c r="T41" s="55" t="str">
        <x:f>IF(A41="","",SUM(P41:S41))</x:f>
      </x:c>
      <x:c r="U41" s="55" t="str">
        <x:f>IF(A41="","",T41)</x:f>
      </x:c>
      <x:c r="V41" s="55" t="str">
        <x:f>IF(A41="","",U41*10%)</x:f>
      </x:c>
      <x:c r="W41" s="50"/>
      <x:c r="X41" s="50"/>
      <x:c r="Y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4"/>
      <x:c r="J42" s="54"/>
      <x:c r="K42" s="54"/>
      <x:c r="L42" s="54"/>
      <x:c r="M42" s="54"/>
      <x:c r="N42" s="54"/>
      <x:c r="O42" s="54"/>
      <x:c r="P42" s="55" t="str">
        <x:f>IF(A42="","",I42*J42)</x:f>
      </x:c>
      <x:c r="Q42" s="55" t="str">
        <x:f>IF(A42="","",I42*K42)</x:f>
      </x:c>
      <x:c r="R42" s="55" t="str">
        <x:f>IF(A42="","",I42*L42)</x:f>
      </x:c>
      <x:c r="S42" s="55" t="str">
        <x:f>IF(A42="","",SUM(M42:O42))</x:f>
      </x:c>
      <x:c r="T42" s="55" t="str">
        <x:f>IF(A42="","",SUM(P42:S42))</x:f>
      </x:c>
      <x:c r="U42" s="55" t="str">
        <x:f>IF(A42="","",T42)</x:f>
      </x:c>
      <x:c r="V42" s="55" t="str">
        <x:f>IF(A42="","",U42*10%)</x:f>
      </x:c>
      <x:c r="W42" s="50"/>
      <x:c r="X42" s="50"/>
      <x:c r="Y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4"/>
      <x:c r="J43" s="54"/>
      <x:c r="K43" s="54"/>
      <x:c r="L43" s="54"/>
      <x:c r="M43" s="54"/>
      <x:c r="N43" s="54"/>
      <x:c r="O43" s="54"/>
      <x:c r="P43" s="55" t="str">
        <x:f>IF(A43="","",I43*J43)</x:f>
      </x:c>
      <x:c r="Q43" s="55" t="str">
        <x:f>IF(A43="","",I43*K43)</x:f>
      </x:c>
      <x:c r="R43" s="55" t="str">
        <x:f>IF(A43="","",I43*L43)</x:f>
      </x:c>
      <x:c r="S43" s="55" t="str">
        <x:f>IF(A43="","",SUM(M43:O43))</x:f>
      </x:c>
      <x:c r="T43" s="55" t="str">
        <x:f>IF(A43="","",SUM(P43:S43))</x:f>
      </x:c>
      <x:c r="U43" s="55" t="str">
        <x:f>IF(A43="","",T43)</x:f>
      </x:c>
      <x:c r="V43" s="55" t="str">
        <x:f>IF(A43="","",U43*10%)</x:f>
      </x:c>
      <x:c r="W43" s="50"/>
      <x:c r="X43" s="50"/>
      <x:c r="Y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4"/>
      <x:c r="J44" s="54"/>
      <x:c r="K44" s="54"/>
      <x:c r="L44" s="54"/>
      <x:c r="M44" s="54"/>
      <x:c r="N44" s="54"/>
      <x:c r="O44" s="54"/>
      <x:c r="P44" s="55" t="str">
        <x:f>IF(A44="","",I44*J44)</x:f>
      </x:c>
      <x:c r="Q44" s="55" t="str">
        <x:f>IF(A44="","",I44*K44)</x:f>
      </x:c>
      <x:c r="R44" s="55" t="str">
        <x:f>IF(A44="","",I44*L44)</x:f>
      </x:c>
      <x:c r="S44" s="55" t="str">
        <x:f>IF(A44="","",SUM(M44:O44))</x:f>
      </x:c>
      <x:c r="T44" s="55" t="str">
        <x:f>IF(A44="","",SUM(P44:S44))</x:f>
      </x:c>
      <x:c r="U44" s="55" t="str">
        <x:f>IF(A44="","",T44)</x:f>
      </x:c>
      <x:c r="V44" s="55" t="str">
        <x:f>IF(A44="","",U44*10%)</x:f>
      </x:c>
      <x:c r="W44" s="50"/>
      <x:c r="X44" s="50"/>
      <x:c r="Y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4"/>
      <x:c r="J45" s="54"/>
      <x:c r="K45" s="54"/>
      <x:c r="L45" s="54"/>
      <x:c r="M45" s="54"/>
      <x:c r="N45" s="54"/>
      <x:c r="O45" s="54"/>
      <x:c r="P45" s="55" t="str">
        <x:f>IF(A45="","",I45*J45)</x:f>
      </x:c>
      <x:c r="Q45" s="55" t="str">
        <x:f>IF(A45="","",I45*K45)</x:f>
      </x:c>
      <x:c r="R45" s="55" t="str">
        <x:f>IF(A45="","",I45*L45)</x:f>
      </x:c>
      <x:c r="S45" s="55" t="str">
        <x:f>IF(A45="","",SUM(M45:O45))</x:f>
      </x:c>
      <x:c r="T45" s="55" t="str">
        <x:f>IF(A45="","",SUM(P45:S45))</x:f>
      </x:c>
      <x:c r="U45" s="55" t="str">
        <x:f>IF(A45="","",T45)</x:f>
      </x:c>
      <x:c r="V45" s="55" t="str">
        <x:f>IF(A45="","",U45*10%)</x:f>
      </x:c>
      <x:c r="W45" s="50"/>
      <x:c r="X45" s="50"/>
      <x:c r="Y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4"/>
      <x:c r="J46" s="54"/>
      <x:c r="K46" s="54"/>
      <x:c r="L46" s="54"/>
      <x:c r="M46" s="54"/>
      <x:c r="N46" s="54"/>
      <x:c r="O46" s="54"/>
      <x:c r="P46" s="55" t="str">
        <x:f>IF(A46="","",I46*J46)</x:f>
      </x:c>
      <x:c r="Q46" s="55" t="str">
        <x:f>IF(A46="","",I46*K46)</x:f>
      </x:c>
      <x:c r="R46" s="55" t="str">
        <x:f>IF(A46="","",I46*L46)</x:f>
      </x:c>
      <x:c r="S46" s="55" t="str">
        <x:f>IF(A46="","",SUM(M46:O46))</x:f>
      </x:c>
      <x:c r="T46" s="55" t="str">
        <x:f>IF(A46="","",SUM(P46:S46))</x:f>
      </x:c>
      <x:c r="U46" s="55" t="str">
        <x:f>IF(A46="","",T46)</x:f>
      </x:c>
      <x:c r="V46" s="55" t="str">
        <x:f>IF(A46="","",U46*10%)</x:f>
      </x:c>
      <x:c r="W46" s="50"/>
      <x:c r="X46" s="50"/>
      <x:c r="Y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4"/>
      <x:c r="J47" s="54"/>
      <x:c r="K47" s="54"/>
      <x:c r="L47" s="54"/>
      <x:c r="M47" s="54"/>
      <x:c r="N47" s="54"/>
      <x:c r="O47" s="54"/>
      <x:c r="P47" s="55" t="str">
        <x:f>IF(A47="","",I47*J47)</x:f>
      </x:c>
      <x:c r="Q47" s="55" t="str">
        <x:f>IF(A47="","",I47*K47)</x:f>
      </x:c>
      <x:c r="R47" s="55" t="str">
        <x:f>IF(A47="","",I47*L47)</x:f>
      </x:c>
      <x:c r="S47" s="55" t="str">
        <x:f>IF(A47="","",SUM(M47:O47))</x:f>
      </x:c>
      <x:c r="T47" s="55" t="str">
        <x:f>IF(A47="","",SUM(P47:S47))</x:f>
      </x:c>
      <x:c r="U47" s="55" t="str">
        <x:f>IF(A47="","",T47)</x:f>
      </x:c>
      <x:c r="V47" s="55" t="str">
        <x:f>IF(A47="","",U47*10%)</x:f>
      </x:c>
      <x:c r="W47" s="50"/>
      <x:c r="X47" s="50"/>
      <x:c r="Y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4"/>
      <x:c r="J48" s="54"/>
      <x:c r="K48" s="54"/>
      <x:c r="L48" s="54"/>
      <x:c r="M48" s="54"/>
      <x:c r="N48" s="54"/>
      <x:c r="O48" s="54"/>
      <x:c r="P48" s="55" t="str">
        <x:f>IF(A48="","",I48*J48)</x:f>
      </x:c>
      <x:c r="Q48" s="55" t="str">
        <x:f>IF(A48="","",I48*K48)</x:f>
      </x:c>
      <x:c r="R48" s="55" t="str">
        <x:f>IF(A48="","",I48*L48)</x:f>
      </x:c>
      <x:c r="S48" s="55" t="str">
        <x:f>IF(A48="","",SUM(M48:O48))</x:f>
      </x:c>
      <x:c r="T48" s="55" t="str">
        <x:f>IF(A48="","",SUM(P48:S48))</x:f>
      </x:c>
      <x:c r="U48" s="55" t="str">
        <x:f>IF(A48="","",T48)</x:f>
      </x:c>
      <x:c r="V48" s="55" t="str">
        <x:f>IF(A48="","",U48*10%)</x:f>
      </x:c>
      <x:c r="W48" s="50"/>
      <x:c r="X48" s="50"/>
      <x:c r="Y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4"/>
      <x:c r="J49" s="54"/>
      <x:c r="K49" s="54"/>
      <x:c r="L49" s="54"/>
      <x:c r="M49" s="54"/>
      <x:c r="N49" s="54"/>
      <x:c r="O49" s="54"/>
      <x:c r="P49" s="55" t="str">
        <x:f>IF(A49="","",I49*J49)</x:f>
      </x:c>
      <x:c r="Q49" s="55" t="str">
        <x:f>IF(A49="","",I49*K49)</x:f>
      </x:c>
      <x:c r="R49" s="55" t="str">
        <x:f>IF(A49="","",I49*L49)</x:f>
      </x:c>
      <x:c r="S49" s="55" t="str">
        <x:f>IF(A49="","",SUM(M49:O49))</x:f>
      </x:c>
      <x:c r="T49" s="55" t="str">
        <x:f>IF(A49="","",SUM(P49:S49))</x:f>
      </x:c>
      <x:c r="U49" s="55" t="str">
        <x:f>IF(A49="","",T49)</x:f>
      </x:c>
      <x:c r="V49" s="55" t="str">
        <x:f>IF(A49="","",U49*10%)</x:f>
      </x:c>
      <x:c r="W49" s="50"/>
      <x:c r="X49" s="50"/>
      <x:c r="Y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4"/>
      <x:c r="J50" s="54"/>
      <x:c r="K50" s="54"/>
      <x:c r="L50" s="54"/>
      <x:c r="M50" s="54"/>
      <x:c r="N50" s="54"/>
      <x:c r="O50" s="54"/>
      <x:c r="P50" s="55" t="str">
        <x:f>IF(A50="","",I50*J50)</x:f>
      </x:c>
      <x:c r="Q50" s="55" t="str">
        <x:f>IF(A50="","",I50*K50)</x:f>
      </x:c>
      <x:c r="R50" s="55" t="str">
        <x:f>IF(A50="","",I50*L50)</x:f>
      </x:c>
      <x:c r="S50" s="55" t="str">
        <x:f>IF(A50="","",SUM(M50:O50))</x:f>
      </x:c>
      <x:c r="T50" s="55" t="str">
        <x:f>IF(A50="","",SUM(P50:S50))</x:f>
      </x:c>
      <x:c r="U50" s="55" t="str">
        <x:f>IF(A50="","",T50)</x:f>
      </x:c>
      <x:c r="V50" s="55" t="str">
        <x:f>IF(A50="","",U50*10%)</x:f>
      </x:c>
      <x:c r="W50" s="50"/>
      <x:c r="X50" s="50"/>
      <x:c r="Y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4"/>
      <x:c r="J51" s="54"/>
      <x:c r="K51" s="54"/>
      <x:c r="L51" s="54"/>
      <x:c r="M51" s="54"/>
      <x:c r="N51" s="54"/>
      <x:c r="O51" s="54"/>
      <x:c r="P51" s="55" t="str">
        <x:f>IF(A51="","",I51*J51)</x:f>
      </x:c>
      <x:c r="Q51" s="55" t="str">
        <x:f>IF(A51="","",I51*K51)</x:f>
      </x:c>
      <x:c r="R51" s="55" t="str">
        <x:f>IF(A51="","",I51*L51)</x:f>
      </x:c>
      <x:c r="S51" s="55" t="str">
        <x:f>IF(A51="","",SUM(M51:O51))</x:f>
      </x:c>
      <x:c r="T51" s="55" t="str">
        <x:f>IF(A51="","",SUM(P51:S51))</x:f>
      </x:c>
      <x:c r="U51" s="55" t="str">
        <x:f>IF(A51="","",T51)</x:f>
      </x:c>
      <x:c r="V51" s="55" t="str">
        <x:f>IF(A51="","",U51*10%)</x:f>
      </x:c>
      <x:c r="W51" s="50"/>
      <x:c r="X51" s="50"/>
      <x:c r="Y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4"/>
      <x:c r="J52" s="54"/>
      <x:c r="K52" s="54"/>
      <x:c r="L52" s="54"/>
      <x:c r="M52" s="54"/>
      <x:c r="N52" s="54"/>
      <x:c r="O52" s="54"/>
      <x:c r="P52" s="55" t="str">
        <x:f>IF(A52="","",I52*J52)</x:f>
      </x:c>
      <x:c r="Q52" s="55" t="str">
        <x:f>IF(A52="","",I52*K52)</x:f>
      </x:c>
      <x:c r="R52" s="55" t="str">
        <x:f>IF(A52="","",I52*L52)</x:f>
      </x:c>
      <x:c r="S52" s="55" t="str">
        <x:f>IF(A52="","",SUM(M52:O52))</x:f>
      </x:c>
      <x:c r="T52" s="55" t="str">
        <x:f>IF(A52="","",SUM(P52:S52))</x:f>
      </x:c>
      <x:c r="U52" s="55" t="str">
        <x:f>IF(A52="","",T52)</x:f>
      </x:c>
      <x:c r="V52" s="55" t="str">
        <x:f>IF(A52="","",U52*10%)</x:f>
      </x:c>
      <x:c r="W52" s="50"/>
      <x:c r="X52" s="50"/>
      <x:c r="Y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4"/>
      <x:c r="J53" s="54"/>
      <x:c r="K53" s="54"/>
      <x:c r="L53" s="54"/>
      <x:c r="M53" s="54"/>
      <x:c r="N53" s="54"/>
      <x:c r="O53" s="54"/>
      <x:c r="P53" s="55" t="str">
        <x:f>IF(A53="","",I53*J53)</x:f>
      </x:c>
      <x:c r="Q53" s="55" t="str">
        <x:f>IF(A53="","",I53*K53)</x:f>
      </x:c>
      <x:c r="R53" s="55" t="str">
        <x:f>IF(A53="","",I53*L53)</x:f>
      </x:c>
      <x:c r="S53" s="55" t="str">
        <x:f>IF(A53="","",SUM(M53:O53))</x:f>
      </x:c>
      <x:c r="T53" s="55" t="str">
        <x:f>IF(A53="","",SUM(P53:S53))</x:f>
      </x:c>
      <x:c r="U53" s="55" t="str">
        <x:f>IF(A53="","",T53)</x:f>
      </x:c>
      <x:c r="V53" s="55" t="str">
        <x:f>IF(A53="","",U53*10%)</x:f>
      </x:c>
      <x:c r="W53" s="50"/>
      <x:c r="X53" s="50"/>
      <x:c r="Y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4"/>
      <x:c r="J54" s="54"/>
      <x:c r="K54" s="54"/>
      <x:c r="L54" s="54"/>
      <x:c r="M54" s="54"/>
      <x:c r="N54" s="54"/>
      <x:c r="O54" s="54"/>
      <x:c r="P54" s="55" t="str">
        <x:f>IF(A54="","",I54*J54)</x:f>
      </x:c>
      <x:c r="Q54" s="55" t="str">
        <x:f>IF(A54="","",I54*K54)</x:f>
      </x:c>
      <x:c r="R54" s="55" t="str">
        <x:f>IF(A54="","",I54*L54)</x:f>
      </x:c>
      <x:c r="S54" s="55" t="str">
        <x:f>IF(A54="","",SUM(M54:O54))</x:f>
      </x:c>
      <x:c r="T54" s="55" t="str">
        <x:f>IF(A54="","",SUM(P54:S54))</x:f>
      </x:c>
      <x:c r="U54" s="55" t="str">
        <x:f>IF(A54="","",T54)</x:f>
      </x:c>
      <x:c r="V54" s="55" t="str">
        <x:f>IF(A54="","",U54*10%)</x:f>
      </x:c>
      <x:c r="W54" s="50"/>
      <x:c r="X54" s="50"/>
      <x:c r="Y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4"/>
      <x:c r="J55" s="54"/>
      <x:c r="K55" s="54"/>
      <x:c r="L55" s="54"/>
      <x:c r="M55" s="54"/>
      <x:c r="N55" s="54"/>
      <x:c r="O55" s="54"/>
      <x:c r="P55" s="55" t="str">
        <x:f>IF(A55="","",I55*J55)</x:f>
      </x:c>
      <x:c r="Q55" s="55" t="str">
        <x:f>IF(A55="","",I55*K55)</x:f>
      </x:c>
      <x:c r="R55" s="55" t="str">
        <x:f>IF(A55="","",I55*L55)</x:f>
      </x:c>
      <x:c r="S55" s="55" t="str">
        <x:f>IF(A55="","",SUM(M55:O55))</x:f>
      </x:c>
      <x:c r="T55" s="55" t="str">
        <x:f>IF(A55="","",SUM(P55:S55))</x:f>
      </x:c>
      <x:c r="U55" s="55" t="str">
        <x:f>IF(A55="","",T55)</x:f>
      </x:c>
      <x:c r="V55" s="55" t="str">
        <x:f>IF(A55="","",U55*10%)</x:f>
      </x:c>
      <x:c r="W55" s="50"/>
      <x:c r="X55" s="50"/>
      <x:c r="Y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4"/>
      <x:c r="J56" s="54"/>
      <x:c r="K56" s="54"/>
      <x:c r="L56" s="54"/>
      <x:c r="M56" s="54"/>
      <x:c r="N56" s="54"/>
      <x:c r="O56" s="54"/>
      <x:c r="P56" s="55" t="str">
        <x:f>IF(A56="","",I56*J56)</x:f>
      </x:c>
      <x:c r="Q56" s="55" t="str">
        <x:f>IF(A56="","",I56*K56)</x:f>
      </x:c>
      <x:c r="R56" s="55" t="str">
        <x:f>IF(A56="","",I56*L56)</x:f>
      </x:c>
      <x:c r="S56" s="55" t="str">
        <x:f>IF(A56="","",SUM(M56:O56))</x:f>
      </x:c>
      <x:c r="T56" s="55" t="str">
        <x:f>IF(A56="","",SUM(P56:S56))</x:f>
      </x:c>
      <x:c r="U56" s="55" t="str">
        <x:f>IF(A56="","",T56)</x:f>
      </x:c>
      <x:c r="V56" s="55" t="str">
        <x:f>IF(A56="","",U56*10%)</x:f>
      </x:c>
      <x:c r="W56" s="50"/>
      <x:c r="X56" s="50"/>
      <x:c r="Y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4"/>
      <x:c r="J57" s="54"/>
      <x:c r="K57" s="54"/>
      <x:c r="L57" s="54"/>
      <x:c r="M57" s="54"/>
      <x:c r="N57" s="54"/>
      <x:c r="O57" s="54"/>
      <x:c r="P57" s="55" t="str">
        <x:f>IF(A57="","",I57*J57)</x:f>
      </x:c>
      <x:c r="Q57" s="55" t="str">
        <x:f>IF(A57="","",I57*K57)</x:f>
      </x:c>
      <x:c r="R57" s="55" t="str">
        <x:f>IF(A57="","",I57*L57)</x:f>
      </x:c>
      <x:c r="S57" s="55" t="str">
        <x:f>IF(A57="","",SUM(M57:O57))</x:f>
      </x:c>
      <x:c r="T57" s="55" t="str">
        <x:f>IF(A57="","",SUM(P57:S57))</x:f>
      </x:c>
      <x:c r="U57" s="55" t="str">
        <x:f>IF(A57="","",T57)</x:f>
      </x:c>
      <x:c r="V57" s="55" t="str">
        <x:f>IF(A57="","",U57*10%)</x:f>
      </x:c>
      <x:c r="W57" s="50"/>
      <x:c r="X57" s="50"/>
      <x:c r="Y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4"/>
      <x:c r="J58" s="54"/>
      <x:c r="K58" s="54"/>
      <x:c r="L58" s="54"/>
      <x:c r="M58" s="54"/>
      <x:c r="N58" s="54"/>
      <x:c r="O58" s="54"/>
      <x:c r="P58" s="55" t="str">
        <x:f>IF(A58="","",I58*J58)</x:f>
      </x:c>
      <x:c r="Q58" s="55" t="str">
        <x:f>IF(A58="","",I58*K58)</x:f>
      </x:c>
      <x:c r="R58" s="55" t="str">
        <x:f>IF(A58="","",I58*L58)</x:f>
      </x:c>
      <x:c r="S58" s="55" t="str">
        <x:f>IF(A58="","",SUM(M58:O58))</x:f>
      </x:c>
      <x:c r="T58" s="55" t="str">
        <x:f>IF(A58="","",SUM(P58:S58))</x:f>
      </x:c>
      <x:c r="U58" s="55" t="str">
        <x:f>IF(A58="","",T58)</x:f>
      </x:c>
      <x:c r="V58" s="55" t="str">
        <x:f>IF(A58="","",U58*10%)</x:f>
      </x:c>
      <x:c r="W58" s="50"/>
      <x:c r="X58" s="50"/>
      <x:c r="Y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4"/>
      <x:c r="J59" s="54"/>
      <x:c r="K59" s="54"/>
      <x:c r="L59" s="54"/>
      <x:c r="M59" s="54"/>
      <x:c r="N59" s="54"/>
      <x:c r="O59" s="54"/>
      <x:c r="P59" s="55" t="str">
        <x:f>IF(A59="","",I59*J59)</x:f>
      </x:c>
      <x:c r="Q59" s="55" t="str">
        <x:f>IF(A59="","",I59*K59)</x:f>
      </x:c>
      <x:c r="R59" s="55" t="str">
        <x:f>IF(A59="","",I59*L59)</x:f>
      </x:c>
      <x:c r="S59" s="55" t="str">
        <x:f>IF(A59="","",SUM(M59:O59))</x:f>
      </x:c>
      <x:c r="T59" s="55" t="str">
        <x:f>IF(A59="","",SUM(P59:S59))</x:f>
      </x:c>
      <x:c r="U59" s="55" t="str">
        <x:f>IF(A59="","",T59)</x:f>
      </x:c>
      <x:c r="V59" s="55" t="str">
        <x:f>IF(A59="","",U59*10%)</x:f>
      </x:c>
      <x:c r="W59" s="50"/>
      <x:c r="X59" s="50"/>
      <x:c r="Y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4"/>
      <x:c r="J60" s="54"/>
      <x:c r="K60" s="54"/>
      <x:c r="L60" s="54"/>
      <x:c r="M60" s="54"/>
      <x:c r="N60" s="54"/>
      <x:c r="O60" s="54"/>
      <x:c r="P60" s="55" t="str">
        <x:f>IF(A60="","",I60*J60)</x:f>
      </x:c>
      <x:c r="Q60" s="55" t="str">
        <x:f>IF(A60="","",I60*K60)</x:f>
      </x:c>
      <x:c r="R60" s="55" t="str">
        <x:f>IF(A60="","",I60*L60)</x:f>
      </x:c>
      <x:c r="S60" s="55" t="str">
        <x:f>IF(A60="","",SUM(M60:O60))</x:f>
      </x:c>
      <x:c r="T60" s="55" t="str">
        <x:f>IF(A60="","",SUM(P60:S60))</x:f>
      </x:c>
      <x:c r="U60" s="55" t="str">
        <x:f>IF(A60="","",T60)</x:f>
      </x:c>
      <x:c r="V60" s="55" t="str">
        <x:f>IF(A60="","",U60*10%)</x:f>
      </x:c>
      <x:c r="W60" s="50"/>
      <x:c r="X60" s="50"/>
      <x:c r="Y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4"/>
      <x:c r="J61" s="54"/>
      <x:c r="K61" s="54"/>
      <x:c r="L61" s="54"/>
      <x:c r="M61" s="54"/>
      <x:c r="N61" s="54"/>
      <x:c r="O61" s="54"/>
      <x:c r="P61" s="55" t="str">
        <x:f>IF(A61="","",I61*J61)</x:f>
      </x:c>
      <x:c r="Q61" s="55" t="str">
        <x:f>IF(A61="","",I61*K61)</x:f>
      </x:c>
      <x:c r="R61" s="55" t="str">
        <x:f>IF(A61="","",I61*L61)</x:f>
      </x:c>
      <x:c r="S61" s="55" t="str">
        <x:f>IF(A61="","",SUM(M61:O61))</x:f>
      </x:c>
      <x:c r="T61" s="55" t="str">
        <x:f>IF(A61="","",SUM(P61:S61))</x:f>
      </x:c>
      <x:c r="U61" s="55" t="str">
        <x:f>IF(A61="","",T61)</x:f>
      </x:c>
      <x:c r="V61" s="55" t="str">
        <x:f>IF(A61="","",U61*10%)</x:f>
      </x:c>
      <x:c r="W61" s="50"/>
      <x:c r="X61" s="50"/>
      <x:c r="Y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4"/>
      <x:c r="J62" s="54"/>
      <x:c r="K62" s="54"/>
      <x:c r="L62" s="54"/>
      <x:c r="M62" s="54"/>
      <x:c r="N62" s="54"/>
      <x:c r="O62" s="54"/>
      <x:c r="P62" s="55" t="str">
        <x:f>IF(A62="","",I62*J62)</x:f>
      </x:c>
      <x:c r="Q62" s="55" t="str">
        <x:f>IF(A62="","",I62*K62)</x:f>
      </x:c>
      <x:c r="R62" s="55" t="str">
        <x:f>IF(A62="","",I62*L62)</x:f>
      </x:c>
      <x:c r="S62" s="55" t="str">
        <x:f>IF(A62="","",SUM(M62:O62))</x:f>
      </x:c>
      <x:c r="T62" s="55" t="str">
        <x:f>IF(A62="","",SUM(P62:S62))</x:f>
      </x:c>
      <x:c r="U62" s="55" t="str">
        <x:f>IF(A62="","",T62)</x:f>
      </x:c>
      <x:c r="V62" s="55" t="str">
        <x:f>IF(A62="","",U62*10%)</x:f>
      </x:c>
      <x:c r="W62" s="50"/>
      <x:c r="X62" s="50"/>
      <x:c r="Y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4"/>
      <x:c r="J63" s="54"/>
      <x:c r="K63" s="54"/>
      <x:c r="L63" s="54"/>
      <x:c r="M63" s="54"/>
      <x:c r="N63" s="54"/>
      <x:c r="O63" s="54"/>
      <x:c r="P63" s="55" t="str">
        <x:f>IF(A63="","",I63*J63)</x:f>
      </x:c>
      <x:c r="Q63" s="55" t="str">
        <x:f>IF(A63="","",I63*K63)</x:f>
      </x:c>
      <x:c r="R63" s="55" t="str">
        <x:f>IF(A63="","",I63*L63)</x:f>
      </x:c>
      <x:c r="S63" s="55" t="str">
        <x:f>IF(A63="","",SUM(M63:O63))</x:f>
      </x:c>
      <x:c r="T63" s="55" t="str">
        <x:f>IF(A63="","",SUM(P63:S63))</x:f>
      </x:c>
      <x:c r="U63" s="55" t="str">
        <x:f>IF(A63="","",T63)</x:f>
      </x:c>
      <x:c r="V63" s="55" t="str">
        <x:f>IF(A63="","",U63*10%)</x:f>
      </x:c>
      <x:c r="W63" s="50"/>
      <x:c r="X63" s="50"/>
      <x:c r="Y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4"/>
      <x:c r="J64" s="54"/>
      <x:c r="K64" s="54"/>
      <x:c r="L64" s="54"/>
      <x:c r="M64" s="54"/>
      <x:c r="N64" s="54"/>
      <x:c r="O64" s="54"/>
      <x:c r="P64" s="55" t="str">
        <x:f>IF(A64="","",I64*J64)</x:f>
      </x:c>
      <x:c r="Q64" s="55" t="str">
        <x:f>IF(A64="","",I64*K64)</x:f>
      </x:c>
      <x:c r="R64" s="55" t="str">
        <x:f>IF(A64="","",I64*L64)</x:f>
      </x:c>
      <x:c r="S64" s="55" t="str">
        <x:f>IF(A64="","",SUM(M64:O64))</x:f>
      </x:c>
      <x:c r="T64" s="55" t="str">
        <x:f>IF(A64="","",SUM(P64:S64))</x:f>
      </x:c>
      <x:c r="U64" s="55" t="str">
        <x:f>IF(A64="","",T64)</x:f>
      </x:c>
      <x:c r="V64" s="55" t="str">
        <x:f>IF(A64="","",U64*10%)</x:f>
      </x:c>
      <x:c r="W64" s="50"/>
      <x:c r="X64" s="50"/>
      <x:c r="Y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4"/>
      <x:c r="J65" s="54"/>
      <x:c r="K65" s="54"/>
      <x:c r="L65" s="54"/>
      <x:c r="M65" s="54"/>
      <x:c r="N65" s="54"/>
      <x:c r="O65" s="54"/>
      <x:c r="P65" s="55" t="str">
        <x:f>IF(A65="","",I65*J65)</x:f>
      </x:c>
      <x:c r="Q65" s="55" t="str">
        <x:f>IF(A65="","",I65*K65)</x:f>
      </x:c>
      <x:c r="R65" s="55" t="str">
        <x:f>IF(A65="","",I65*L65)</x:f>
      </x:c>
      <x:c r="S65" s="55" t="str">
        <x:f>IF(A65="","",SUM(M65:O65))</x:f>
      </x:c>
      <x:c r="T65" s="55" t="str">
        <x:f>IF(A65="","",SUM(P65:S65))</x:f>
      </x:c>
      <x:c r="U65" s="55" t="str">
        <x:f>IF(A65="","",T65)</x:f>
      </x:c>
      <x:c r="V65" s="55" t="str">
        <x:f>IF(A65="","",U65*10%)</x:f>
      </x:c>
      <x:c r="W65" s="50"/>
      <x:c r="X65" s="50"/>
      <x:c r="Y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4"/>
      <x:c r="J66" s="54"/>
      <x:c r="K66" s="54"/>
      <x:c r="L66" s="54"/>
      <x:c r="M66" s="54"/>
      <x:c r="N66" s="54"/>
      <x:c r="O66" s="54"/>
      <x:c r="P66" s="55" t="str">
        <x:f>IF(A66="","",I66*J66)</x:f>
      </x:c>
      <x:c r="Q66" s="55" t="str">
        <x:f>IF(A66="","",I66*K66)</x:f>
      </x:c>
      <x:c r="R66" s="55" t="str">
        <x:f>IF(A66="","",I66*L66)</x:f>
      </x:c>
      <x:c r="S66" s="55" t="str">
        <x:f>IF(A66="","",SUM(M66:O66))</x:f>
      </x:c>
      <x:c r="T66" s="55" t="str">
        <x:f>IF(A66="","",SUM(P66:S66))</x:f>
      </x:c>
      <x:c r="U66" s="55" t="str">
        <x:f>IF(A66="","",T66)</x:f>
      </x:c>
      <x:c r="V66" s="55" t="str">
        <x:f>IF(A66="","",U66*10%)</x:f>
      </x:c>
      <x:c r="W66" s="50"/>
      <x:c r="X66" s="50"/>
      <x:c r="Y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4"/>
      <x:c r="J67" s="54"/>
      <x:c r="K67" s="54"/>
      <x:c r="L67" s="54"/>
      <x:c r="M67" s="54"/>
      <x:c r="N67" s="54"/>
      <x:c r="O67" s="54"/>
      <x:c r="P67" s="55" t="str">
        <x:f>IF(A67="","",I67*J67)</x:f>
      </x:c>
      <x:c r="Q67" s="55" t="str">
        <x:f>IF(A67="","",I67*K67)</x:f>
      </x:c>
      <x:c r="R67" s="55" t="str">
        <x:f>IF(A67="","",I67*L67)</x:f>
      </x:c>
      <x:c r="S67" s="55" t="str">
        <x:f>IF(A67="","",SUM(M67:O67))</x:f>
      </x:c>
      <x:c r="T67" s="55" t="str">
        <x:f>IF(A67="","",SUM(P67:S67))</x:f>
      </x:c>
      <x:c r="U67" s="55" t="str">
        <x:f>IF(A67="","",T67)</x:f>
      </x:c>
      <x:c r="V67" s="55" t="str">
        <x:f>IF(A67="","",U67*10%)</x:f>
      </x:c>
      <x:c r="W67" s="50"/>
      <x:c r="X67" s="50"/>
      <x:c r="Y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4"/>
      <x:c r="J68" s="54"/>
      <x:c r="K68" s="54"/>
      <x:c r="L68" s="54"/>
      <x:c r="M68" s="54"/>
      <x:c r="N68" s="54"/>
      <x:c r="O68" s="54"/>
      <x:c r="P68" s="55" t="str">
        <x:f>IF(A68="","",I68*J68)</x:f>
      </x:c>
      <x:c r="Q68" s="55" t="str">
        <x:f>IF(A68="","",I68*K68)</x:f>
      </x:c>
      <x:c r="R68" s="55" t="str">
        <x:f>IF(A68="","",I68*L68)</x:f>
      </x:c>
      <x:c r="S68" s="55" t="str">
        <x:f>IF(A68="","",SUM(M68:O68))</x:f>
      </x:c>
      <x:c r="T68" s="55" t="str">
        <x:f>IF(A68="","",SUM(P68:S68))</x:f>
      </x:c>
      <x:c r="U68" s="55" t="str">
        <x:f>IF(A68="","",T68)</x:f>
      </x:c>
      <x:c r="V68" s="55" t="str">
        <x:f>IF(A68="","",U68*10%)</x:f>
      </x:c>
      <x:c r="W68" s="50"/>
      <x:c r="X68" s="50"/>
      <x:c r="Y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4"/>
      <x:c r="J69" s="54"/>
      <x:c r="K69" s="54"/>
      <x:c r="L69" s="54"/>
      <x:c r="M69" s="54"/>
      <x:c r="N69" s="54"/>
      <x:c r="O69" s="54"/>
      <x:c r="P69" s="55" t="str">
        <x:f>IF(A69="","",I69*J69)</x:f>
      </x:c>
      <x:c r="Q69" s="55" t="str">
        <x:f>IF(A69="","",I69*K69)</x:f>
      </x:c>
      <x:c r="R69" s="55" t="str">
        <x:f>IF(A69="","",I69*L69)</x:f>
      </x:c>
      <x:c r="S69" s="55" t="str">
        <x:f>IF(A69="","",SUM(M69:O69))</x:f>
      </x:c>
      <x:c r="T69" s="55" t="str">
        <x:f>IF(A69="","",SUM(P69:S69))</x:f>
      </x:c>
      <x:c r="U69" s="55" t="str">
        <x:f>IF(A69="","",T69)</x:f>
      </x:c>
      <x:c r="V69" s="55" t="str">
        <x:f>IF(A69="","",U69*10%)</x:f>
      </x:c>
      <x:c r="W69" s="50"/>
      <x:c r="X69" s="50"/>
      <x:c r="Y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4"/>
      <x:c r="J70" s="54"/>
      <x:c r="K70" s="54"/>
      <x:c r="L70" s="54"/>
      <x:c r="M70" s="54"/>
      <x:c r="N70" s="54"/>
      <x:c r="O70" s="54"/>
      <x:c r="P70" s="55" t="str">
        <x:f>IF(A70="","",I70*J70)</x:f>
      </x:c>
      <x:c r="Q70" s="55" t="str">
        <x:f>IF(A70="","",I70*K70)</x:f>
      </x:c>
      <x:c r="R70" s="55" t="str">
        <x:f>IF(A70="","",I70*L70)</x:f>
      </x:c>
      <x:c r="S70" s="55" t="str">
        <x:f>IF(A70="","",SUM(M70:O70))</x:f>
      </x:c>
      <x:c r="T70" s="55" t="str">
        <x:f>IF(A70="","",SUM(P70:S70))</x:f>
      </x:c>
      <x:c r="U70" s="55" t="str">
        <x:f>IF(A70="","",T70)</x:f>
      </x:c>
      <x:c r="V70" s="55" t="str">
        <x:f>IF(A70="","",U70*10%)</x:f>
      </x:c>
      <x:c r="W70" s="50"/>
      <x:c r="X70" s="50"/>
      <x:c r="Y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4"/>
      <x:c r="J71" s="54"/>
      <x:c r="K71" s="54"/>
      <x:c r="L71" s="54"/>
      <x:c r="M71" s="54"/>
      <x:c r="N71" s="54"/>
      <x:c r="O71" s="54"/>
      <x:c r="P71" s="55" t="str">
        <x:f>IF(A71="","",I71*J71)</x:f>
      </x:c>
      <x:c r="Q71" s="55" t="str">
        <x:f>IF(A71="","",I71*K71)</x:f>
      </x:c>
      <x:c r="R71" s="55" t="str">
        <x:f>IF(A71="","",I71*L71)</x:f>
      </x:c>
      <x:c r="S71" s="55" t="str">
        <x:f>IF(A71="","",SUM(M71:O71))</x:f>
      </x:c>
      <x:c r="T71" s="55" t="str">
        <x:f>IF(A71="","",SUM(P71:S71))</x:f>
      </x:c>
      <x:c r="U71" s="55" t="str">
        <x:f>IF(A71="","",T71)</x:f>
      </x:c>
      <x:c r="V71" s="55" t="str">
        <x:f>IF(A71="","",U71*10%)</x:f>
      </x:c>
      <x:c r="W71" s="50"/>
      <x:c r="X71" s="50"/>
      <x:c r="Y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4"/>
      <x:c r="J72" s="54"/>
      <x:c r="K72" s="54"/>
      <x:c r="L72" s="54"/>
      <x:c r="M72" s="54"/>
      <x:c r="N72" s="54"/>
      <x:c r="O72" s="54"/>
      <x:c r="P72" s="55" t="str">
        <x:f>IF(A72="","",I72*J72)</x:f>
      </x:c>
      <x:c r="Q72" s="55" t="str">
        <x:f>IF(A72="","",I72*K72)</x:f>
      </x:c>
      <x:c r="R72" s="55" t="str">
        <x:f>IF(A72="","",I72*L72)</x:f>
      </x:c>
      <x:c r="S72" s="55" t="str">
        <x:f>IF(A72="","",SUM(M72:O72))</x:f>
      </x:c>
      <x:c r="T72" s="55" t="str">
        <x:f>IF(A72="","",SUM(P72:S72))</x:f>
      </x:c>
      <x:c r="U72" s="55" t="str">
        <x:f>IF(A72="","",T72)</x:f>
      </x:c>
      <x:c r="V72" s="55" t="str">
        <x:f>IF(A72="","",U72*10%)</x:f>
      </x:c>
      <x:c r="W72" s="50"/>
      <x:c r="X72" s="50"/>
      <x:c r="Y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4"/>
      <x:c r="J73" s="54"/>
      <x:c r="K73" s="54"/>
      <x:c r="L73" s="54"/>
      <x:c r="M73" s="54"/>
      <x:c r="N73" s="54"/>
      <x:c r="O73" s="54"/>
      <x:c r="P73" s="55" t="str">
        <x:f>IF(A73="","",I73*J73)</x:f>
      </x:c>
      <x:c r="Q73" s="55" t="str">
        <x:f>IF(A73="","",I73*K73)</x:f>
      </x:c>
      <x:c r="R73" s="55" t="str">
        <x:f>IF(A73="","",I73*L73)</x:f>
      </x:c>
      <x:c r="S73" s="55" t="str">
        <x:f>IF(A73="","",SUM(M73:O73))</x:f>
      </x:c>
      <x:c r="T73" s="55" t="str">
        <x:f>IF(A73="","",SUM(P73:S73))</x:f>
      </x:c>
      <x:c r="U73" s="55" t="str">
        <x:f>IF(A73="","",T73)</x:f>
      </x:c>
      <x:c r="V73" s="55" t="str">
        <x:f>IF(A73="","",U73*10%)</x:f>
      </x:c>
      <x:c r="W73" s="50"/>
      <x:c r="X73" s="50"/>
      <x:c r="Y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4"/>
      <x:c r="J74" s="54"/>
      <x:c r="K74" s="54"/>
      <x:c r="L74" s="54"/>
      <x:c r="M74" s="54"/>
      <x:c r="N74" s="54"/>
      <x:c r="O74" s="54"/>
      <x:c r="P74" s="55" t="str">
        <x:f>IF(A74="","",I74*J74)</x:f>
      </x:c>
      <x:c r="Q74" s="55" t="str">
        <x:f>IF(A74="","",I74*K74)</x:f>
      </x:c>
      <x:c r="R74" s="55" t="str">
        <x:f>IF(A74="","",I74*L74)</x:f>
      </x:c>
      <x:c r="S74" s="55" t="str">
        <x:f>IF(A74="","",SUM(M74:O74))</x:f>
      </x:c>
      <x:c r="T74" s="55" t="str">
        <x:f>IF(A74="","",SUM(P74:S74))</x:f>
      </x:c>
      <x:c r="U74" s="55" t="str">
        <x:f>IF(A74="","",T74)</x:f>
      </x:c>
      <x:c r="V74" s="55" t="str">
        <x:f>IF(A74="","",U74*10%)</x:f>
      </x:c>
      <x:c r="W74" s="50"/>
      <x:c r="X74" s="50"/>
      <x:c r="Y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4"/>
      <x:c r="J75" s="54"/>
      <x:c r="K75" s="54"/>
      <x:c r="L75" s="54"/>
      <x:c r="M75" s="54"/>
      <x:c r="N75" s="54"/>
      <x:c r="O75" s="54"/>
      <x:c r="P75" s="55" t="str">
        <x:f>IF(A75="","",I75*J75)</x:f>
      </x:c>
      <x:c r="Q75" s="55" t="str">
        <x:f>IF(A75="","",I75*K75)</x:f>
      </x:c>
      <x:c r="R75" s="55" t="str">
        <x:f>IF(A75="","",I75*L75)</x:f>
      </x:c>
      <x:c r="S75" s="55" t="str">
        <x:f>IF(A75="","",SUM(M75:O75))</x:f>
      </x:c>
      <x:c r="T75" s="55" t="str">
        <x:f>IF(A75="","",SUM(P75:S75))</x:f>
      </x:c>
      <x:c r="U75" s="55" t="str">
        <x:f>IF(A75="","",T75)</x:f>
      </x:c>
      <x:c r="V75" s="55" t="str">
        <x:f>IF(A75="","",U75*10%)</x:f>
      </x:c>
      <x:c r="W75" s="50"/>
      <x:c r="X75" s="50"/>
      <x:c r="Y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4"/>
      <x:c r="J76" s="54"/>
      <x:c r="K76" s="54"/>
      <x:c r="L76" s="54"/>
      <x:c r="M76" s="54"/>
      <x:c r="N76" s="54"/>
      <x:c r="O76" s="54"/>
      <x:c r="P76" s="55" t="str">
        <x:f>IF(A76="","",I76*J76)</x:f>
      </x:c>
      <x:c r="Q76" s="55" t="str">
        <x:f>IF(A76="","",I76*K76)</x:f>
      </x:c>
      <x:c r="R76" s="55" t="str">
        <x:f>IF(A76="","",I76*L76)</x:f>
      </x:c>
      <x:c r="S76" s="55" t="str">
        <x:f>IF(A76="","",SUM(M76:O76))</x:f>
      </x:c>
      <x:c r="T76" s="55" t="str">
        <x:f>IF(A76="","",SUM(P76:S76))</x:f>
      </x:c>
      <x:c r="U76" s="55" t="str">
        <x:f>IF(A76="","",T76)</x:f>
      </x:c>
      <x:c r="V76" s="55" t="str">
        <x:f>IF(A76="","",U76*10%)</x:f>
      </x:c>
      <x:c r="W76" s="50"/>
      <x:c r="X76" s="50"/>
      <x:c r="Y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4"/>
      <x:c r="J77" s="54"/>
      <x:c r="K77" s="54"/>
      <x:c r="L77" s="54"/>
      <x:c r="M77" s="54"/>
      <x:c r="N77" s="54"/>
      <x:c r="O77" s="54"/>
      <x:c r="P77" s="55" t="str">
        <x:f>IF(A77="","",I77*J77)</x:f>
      </x:c>
      <x:c r="Q77" s="55" t="str">
        <x:f>IF(A77="","",I77*K77)</x:f>
      </x:c>
      <x:c r="R77" s="55" t="str">
        <x:f>IF(A77="","",I77*L77)</x:f>
      </x:c>
      <x:c r="S77" s="55" t="str">
        <x:f>IF(A77="","",SUM(M77:O77))</x:f>
      </x:c>
      <x:c r="T77" s="55" t="str">
        <x:f>IF(A77="","",SUM(P77:S77))</x:f>
      </x:c>
      <x:c r="U77" s="55" t="str">
        <x:f>IF(A77="","",T77)</x:f>
      </x:c>
      <x:c r="V77" s="55" t="str">
        <x:f>IF(A77="","",U77*10%)</x:f>
      </x:c>
      <x:c r="W77" s="50"/>
      <x:c r="X77" s="50"/>
      <x:c r="Y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4"/>
      <x:c r="J78" s="54"/>
      <x:c r="K78" s="54"/>
      <x:c r="L78" s="54"/>
      <x:c r="M78" s="54"/>
      <x:c r="N78" s="54"/>
      <x:c r="O78" s="54"/>
      <x:c r="P78" s="55" t="str">
        <x:f>IF(A78="","",I78*J78)</x:f>
      </x:c>
      <x:c r="Q78" s="55" t="str">
        <x:f>IF(A78="","",I78*K78)</x:f>
      </x:c>
      <x:c r="R78" s="55" t="str">
        <x:f>IF(A78="","",I78*L78)</x:f>
      </x:c>
      <x:c r="S78" s="55" t="str">
        <x:f>IF(A78="","",SUM(M78:O78))</x:f>
      </x:c>
      <x:c r="T78" s="55" t="str">
        <x:f>IF(A78="","",SUM(P78:S78))</x:f>
      </x:c>
      <x:c r="U78" s="55" t="str">
        <x:f>IF(A78="","",T78)</x:f>
      </x:c>
      <x:c r="V78" s="55" t="str">
        <x:f>IF(A78="","",U78*10%)</x:f>
      </x:c>
      <x:c r="W78" s="50"/>
      <x:c r="X78" s="50"/>
      <x:c r="Y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4"/>
      <x:c r="J79" s="54"/>
      <x:c r="K79" s="54"/>
      <x:c r="L79" s="54"/>
      <x:c r="M79" s="54"/>
      <x:c r="N79" s="54"/>
      <x:c r="O79" s="54"/>
      <x:c r="P79" s="55" t="str">
        <x:f>IF(A79="","",I79*J79)</x:f>
      </x:c>
      <x:c r="Q79" s="55" t="str">
        <x:f>IF(A79="","",I79*K79)</x:f>
      </x:c>
      <x:c r="R79" s="55" t="str">
        <x:f>IF(A79="","",I79*L79)</x:f>
      </x:c>
      <x:c r="S79" s="55" t="str">
        <x:f>IF(A79="","",SUM(M79:O79))</x:f>
      </x:c>
      <x:c r="T79" s="55" t="str">
        <x:f>IF(A79="","",SUM(P79:S79))</x:f>
      </x:c>
      <x:c r="U79" s="55" t="str">
        <x:f>IF(A79="","",T79)</x:f>
      </x:c>
      <x:c r="V79" s="55" t="str">
        <x:f>IF(A79="","",U79*10%)</x:f>
      </x:c>
      <x:c r="W79" s="50"/>
      <x:c r="X79" s="50"/>
      <x:c r="Y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4"/>
      <x:c r="J80" s="54"/>
      <x:c r="K80" s="54"/>
      <x:c r="L80" s="54"/>
      <x:c r="M80" s="54"/>
      <x:c r="N80" s="54"/>
      <x:c r="O80" s="54"/>
      <x:c r="P80" s="55" t="str">
        <x:f>IF(A80="","",I80*J80)</x:f>
      </x:c>
      <x:c r="Q80" s="55" t="str">
        <x:f>IF(A80="","",I80*K80)</x:f>
      </x:c>
      <x:c r="R80" s="55" t="str">
        <x:f>IF(A80="","",I80*L80)</x:f>
      </x:c>
      <x:c r="S80" s="55" t="str">
        <x:f>IF(A80="","",SUM(M80:O80))</x:f>
      </x:c>
      <x:c r="T80" s="55" t="str">
        <x:f>IF(A80="","",SUM(P80:S80))</x:f>
      </x:c>
      <x:c r="U80" s="55" t="str">
        <x:f>IF(A80="","",T80)</x:f>
      </x:c>
      <x:c r="V80" s="55" t="str">
        <x:f>IF(A80="","",U80*10%)</x:f>
      </x:c>
      <x:c r="W80" s="50"/>
      <x:c r="X80" s="50"/>
      <x:c r="Y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4"/>
      <x:c r="J81" s="54"/>
      <x:c r="K81" s="54"/>
      <x:c r="L81" s="54"/>
      <x:c r="M81" s="54"/>
      <x:c r="N81" s="54"/>
      <x:c r="O81" s="54"/>
      <x:c r="P81" s="55" t="str">
        <x:f>IF(A81="","",I81*J81)</x:f>
      </x:c>
      <x:c r="Q81" s="55" t="str">
        <x:f>IF(A81="","",I81*K81)</x:f>
      </x:c>
      <x:c r="R81" s="55" t="str">
        <x:f>IF(A81="","",I81*L81)</x:f>
      </x:c>
      <x:c r="S81" s="55" t="str">
        <x:f>IF(A81="","",SUM(M81:O81))</x:f>
      </x:c>
      <x:c r="T81" s="55" t="str">
        <x:f>IF(A81="","",SUM(P81:S81))</x:f>
      </x:c>
      <x:c r="U81" s="55" t="str">
        <x:f>IF(A81="","",T81)</x:f>
      </x:c>
      <x:c r="V81" s="55" t="str">
        <x:f>IF(A81="","",U81*10%)</x:f>
      </x:c>
      <x:c r="W81" s="50"/>
      <x:c r="X81" s="50"/>
      <x:c r="Y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4"/>
      <x:c r="J82" s="54"/>
      <x:c r="K82" s="54"/>
      <x:c r="L82" s="54"/>
      <x:c r="M82" s="54"/>
      <x:c r="N82" s="54"/>
      <x:c r="O82" s="54"/>
      <x:c r="P82" s="55" t="str">
        <x:f>IF(A82="","",I82*J82)</x:f>
      </x:c>
      <x:c r="Q82" s="55" t="str">
        <x:f>IF(A82="","",I82*K82)</x:f>
      </x:c>
      <x:c r="R82" s="55" t="str">
        <x:f>IF(A82="","",I82*L82)</x:f>
      </x:c>
      <x:c r="S82" s="55" t="str">
        <x:f>IF(A82="","",SUM(M82:O82))</x:f>
      </x:c>
      <x:c r="T82" s="55" t="str">
        <x:f>IF(A82="","",SUM(P82:S82))</x:f>
      </x:c>
      <x:c r="U82" s="55" t="str">
        <x:f>IF(A82="","",T82)</x:f>
      </x:c>
      <x:c r="V82" s="55" t="str">
        <x:f>IF(A82="","",U82*10%)</x:f>
      </x:c>
      <x:c r="W82" s="50"/>
      <x:c r="X82" s="50"/>
      <x:c r="Y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4"/>
      <x:c r="J83" s="54"/>
      <x:c r="K83" s="54"/>
      <x:c r="L83" s="54"/>
      <x:c r="M83" s="54"/>
      <x:c r="N83" s="54"/>
      <x:c r="O83" s="54"/>
      <x:c r="P83" s="55" t="str">
        <x:f>IF(A83="","",I83*J83)</x:f>
      </x:c>
      <x:c r="Q83" s="55" t="str">
        <x:f>IF(A83="","",I83*K83)</x:f>
      </x:c>
      <x:c r="R83" s="55" t="str">
        <x:f>IF(A83="","",I83*L83)</x:f>
      </x:c>
      <x:c r="S83" s="55" t="str">
        <x:f>IF(A83="","",SUM(M83:O83))</x:f>
      </x:c>
      <x:c r="T83" s="55" t="str">
        <x:f>IF(A83="","",SUM(P83:S83))</x:f>
      </x:c>
      <x:c r="U83" s="55" t="str">
        <x:f>IF(A83="","",T83)</x:f>
      </x:c>
      <x:c r="V83" s="55" t="str">
        <x:f>IF(A83="","",U83*10%)</x:f>
      </x:c>
      <x:c r="W83" s="50"/>
      <x:c r="X83" s="50"/>
      <x:c r="Y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4"/>
      <x:c r="J84" s="54"/>
      <x:c r="K84" s="54"/>
      <x:c r="L84" s="54"/>
      <x:c r="M84" s="54"/>
      <x:c r="N84" s="54"/>
      <x:c r="O84" s="54"/>
      <x:c r="P84" s="55" t="str">
        <x:f>IF(A84="","",I84*J84)</x:f>
      </x:c>
      <x:c r="Q84" s="55" t="str">
        <x:f>IF(A84="","",I84*K84)</x:f>
      </x:c>
      <x:c r="R84" s="55" t="str">
        <x:f>IF(A84="","",I84*L84)</x:f>
      </x:c>
      <x:c r="S84" s="55" t="str">
        <x:f>IF(A84="","",SUM(M84:O84))</x:f>
      </x:c>
      <x:c r="T84" s="55" t="str">
        <x:f>IF(A84="","",SUM(P84:S84))</x:f>
      </x:c>
      <x:c r="U84" s="55" t="str">
        <x:f>IF(A84="","",T84)</x:f>
      </x:c>
      <x:c r="V84" s="55" t="str">
        <x:f>IF(A84="","",U84*10%)</x:f>
      </x:c>
      <x:c r="W84" s="50"/>
      <x:c r="X84" s="50"/>
      <x:c r="Y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4"/>
      <x:c r="J85" s="54"/>
      <x:c r="K85" s="54"/>
      <x:c r="L85" s="54"/>
      <x:c r="M85" s="54"/>
      <x:c r="N85" s="54"/>
      <x:c r="O85" s="54"/>
      <x:c r="P85" s="55" t="str">
        <x:f>IF(A85="","",I85*J85)</x:f>
      </x:c>
      <x:c r="Q85" s="55" t="str">
        <x:f>IF(A85="","",I85*K85)</x:f>
      </x:c>
      <x:c r="R85" s="55" t="str">
        <x:f>IF(A85="","",I85*L85)</x:f>
      </x:c>
      <x:c r="S85" s="55" t="str">
        <x:f>IF(A85="","",SUM(M85:O85))</x:f>
      </x:c>
      <x:c r="T85" s="55" t="str">
        <x:f>IF(A85="","",SUM(P85:S85))</x:f>
      </x:c>
      <x:c r="U85" s="55" t="str">
        <x:f>IF(A85="","",T85)</x:f>
      </x:c>
      <x:c r="V85" s="55" t="str">
        <x:f>IF(A85="","",U85*10%)</x:f>
      </x:c>
      <x:c r="W85" s="50"/>
      <x:c r="X85" s="50"/>
      <x:c r="Y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4"/>
      <x:c r="J86" s="54"/>
      <x:c r="K86" s="54"/>
      <x:c r="L86" s="54"/>
      <x:c r="M86" s="54"/>
      <x:c r="N86" s="54"/>
      <x:c r="O86" s="54"/>
      <x:c r="P86" s="55" t="str">
        <x:f>IF(A86="","",I86*J86)</x:f>
      </x:c>
      <x:c r="Q86" s="55" t="str">
        <x:f>IF(A86="","",I86*K86)</x:f>
      </x:c>
      <x:c r="R86" s="55" t="str">
        <x:f>IF(A86="","",I86*L86)</x:f>
      </x:c>
      <x:c r="S86" s="55" t="str">
        <x:f>IF(A86="","",SUM(M86:O86))</x:f>
      </x:c>
      <x:c r="T86" s="55" t="str">
        <x:f>IF(A86="","",SUM(P86:S86))</x:f>
      </x:c>
      <x:c r="U86" s="55" t="str">
        <x:f>IF(A86="","",T86)</x:f>
      </x:c>
      <x:c r="V86" s="55" t="str">
        <x:f>IF(A86="","",U86*10%)</x:f>
      </x:c>
      <x:c r="W86" s="50"/>
      <x:c r="X86" s="50"/>
      <x:c r="Y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4"/>
      <x:c r="J87" s="54"/>
      <x:c r="K87" s="54"/>
      <x:c r="L87" s="54"/>
      <x:c r="M87" s="54"/>
      <x:c r="N87" s="54"/>
      <x:c r="O87" s="54"/>
      <x:c r="P87" s="55" t="str">
        <x:f>IF(A87="","",I87*J87)</x:f>
      </x:c>
      <x:c r="Q87" s="55" t="str">
        <x:f>IF(A87="","",I87*K87)</x:f>
      </x:c>
      <x:c r="R87" s="55" t="str">
        <x:f>IF(A87="","",I87*L87)</x:f>
      </x:c>
      <x:c r="S87" s="55" t="str">
        <x:f>IF(A87="","",SUM(M87:O87))</x:f>
      </x:c>
      <x:c r="T87" s="55" t="str">
        <x:f>IF(A87="","",SUM(P87:S87))</x:f>
      </x:c>
      <x:c r="U87" s="55" t="str">
        <x:f>IF(A87="","",T87)</x:f>
      </x:c>
      <x:c r="V87" s="55" t="str">
        <x:f>IF(A87="","",U87*10%)</x:f>
      </x:c>
      <x:c r="W87" s="50"/>
      <x:c r="X87" s="50"/>
      <x:c r="Y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4"/>
      <x:c r="J88" s="54"/>
      <x:c r="K88" s="54"/>
      <x:c r="L88" s="54"/>
      <x:c r="M88" s="54"/>
      <x:c r="N88" s="54"/>
      <x:c r="O88" s="54"/>
      <x:c r="P88" s="55" t="str">
        <x:f>IF(A88="","",I88*J88)</x:f>
      </x:c>
      <x:c r="Q88" s="55" t="str">
        <x:f>IF(A88="","",I88*K88)</x:f>
      </x:c>
      <x:c r="R88" s="55" t="str">
        <x:f>IF(A88="","",I88*L88)</x:f>
      </x:c>
      <x:c r="S88" s="55" t="str">
        <x:f>IF(A88="","",SUM(M88:O88))</x:f>
      </x:c>
      <x:c r="T88" s="55" t="str">
        <x:f>IF(A88="","",SUM(P88:S88))</x:f>
      </x:c>
      <x:c r="U88" s="55" t="str">
        <x:f>IF(A88="","",T88)</x:f>
      </x:c>
      <x:c r="V88" s="55" t="str">
        <x:f>IF(A88="","",U88*10%)</x:f>
      </x:c>
      <x:c r="W88" s="50"/>
      <x:c r="X88" s="50"/>
      <x:c r="Y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4"/>
      <x:c r="J89" s="54"/>
      <x:c r="K89" s="54"/>
      <x:c r="L89" s="54"/>
      <x:c r="M89" s="54"/>
      <x:c r="N89" s="54"/>
      <x:c r="O89" s="54"/>
      <x:c r="P89" s="55" t="str">
        <x:f>IF(A89="","",I89*J89)</x:f>
      </x:c>
      <x:c r="Q89" s="55" t="str">
        <x:f>IF(A89="","",I89*K89)</x:f>
      </x:c>
      <x:c r="R89" s="55" t="str">
        <x:f>IF(A89="","",I89*L89)</x:f>
      </x:c>
      <x:c r="S89" s="55" t="str">
        <x:f>IF(A89="","",SUM(M89:O89))</x:f>
      </x:c>
      <x:c r="T89" s="55" t="str">
        <x:f>IF(A89="","",SUM(P89:S89))</x:f>
      </x:c>
      <x:c r="U89" s="55" t="str">
        <x:f>IF(A89="","",T89)</x:f>
      </x:c>
      <x:c r="V89" s="55" t="str">
        <x:f>IF(A89="","",U89*10%)</x:f>
      </x:c>
      <x:c r="W89" s="50"/>
      <x:c r="X89" s="50"/>
      <x:c r="Y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4"/>
      <x:c r="J90" s="54"/>
      <x:c r="K90" s="54"/>
      <x:c r="L90" s="54"/>
      <x:c r="M90" s="54"/>
      <x:c r="N90" s="54"/>
      <x:c r="O90" s="54"/>
      <x:c r="P90" s="55" t="str">
        <x:f>IF(A90="","",I90*J90)</x:f>
      </x:c>
      <x:c r="Q90" s="55" t="str">
        <x:f>IF(A90="","",I90*K90)</x:f>
      </x:c>
      <x:c r="R90" s="55" t="str">
        <x:f>IF(A90="","",I90*L90)</x:f>
      </x:c>
      <x:c r="S90" s="55" t="str">
        <x:f>IF(A90="","",SUM(M90:O90))</x:f>
      </x:c>
      <x:c r="T90" s="55" t="str">
        <x:f>IF(A90="","",SUM(P90:S90))</x:f>
      </x:c>
      <x:c r="U90" s="55" t="str">
        <x:f>IF(A90="","",T90)</x:f>
      </x:c>
      <x:c r="V90" s="55" t="str">
        <x:f>IF(A90="","",U90*10%)</x:f>
      </x:c>
      <x:c r="W90" s="50"/>
      <x:c r="X90" s="50"/>
      <x:c r="Y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4"/>
      <x:c r="J91" s="54"/>
      <x:c r="K91" s="54"/>
      <x:c r="L91" s="54"/>
      <x:c r="M91" s="54"/>
      <x:c r="N91" s="54"/>
      <x:c r="O91" s="54"/>
      <x:c r="P91" s="55" t="str">
        <x:f>IF(A91="","",I91*J91)</x:f>
      </x:c>
      <x:c r="Q91" s="55" t="str">
        <x:f>IF(A91="","",I91*K91)</x:f>
      </x:c>
      <x:c r="R91" s="55" t="str">
        <x:f>IF(A91="","",I91*L91)</x:f>
      </x:c>
      <x:c r="S91" s="55" t="str">
        <x:f>IF(A91="","",SUM(M91:O91))</x:f>
      </x:c>
      <x:c r="T91" s="55" t="str">
        <x:f>IF(A91="","",SUM(P91:S91))</x:f>
      </x:c>
      <x:c r="U91" s="55" t="str">
        <x:f>IF(A91="","",T91)</x:f>
      </x:c>
      <x:c r="V91" s="55" t="str">
        <x:f>IF(A91="","",U91*10%)</x:f>
      </x:c>
      <x:c r="W91" s="50"/>
      <x:c r="X91" s="50"/>
      <x:c r="Y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4"/>
      <x:c r="J92" s="54"/>
      <x:c r="K92" s="54"/>
      <x:c r="L92" s="54"/>
      <x:c r="M92" s="54"/>
      <x:c r="N92" s="54"/>
      <x:c r="O92" s="54"/>
      <x:c r="P92" s="55" t="str">
        <x:f>IF(A92="","",I92*J92)</x:f>
      </x:c>
      <x:c r="Q92" s="55" t="str">
        <x:f>IF(A92="","",I92*K92)</x:f>
      </x:c>
      <x:c r="R92" s="55" t="str">
        <x:f>IF(A92="","",I92*L92)</x:f>
      </x:c>
      <x:c r="S92" s="55" t="str">
        <x:f>IF(A92="","",SUM(M92:O92))</x:f>
      </x:c>
      <x:c r="T92" s="55" t="str">
        <x:f>IF(A92="","",SUM(P92:S92))</x:f>
      </x:c>
      <x:c r="U92" s="55" t="str">
        <x:f>IF(A92="","",T92)</x:f>
      </x:c>
      <x:c r="V92" s="55" t="str">
        <x:f>IF(A92="","",U92*10%)</x:f>
      </x:c>
      <x:c r="W92" s="50"/>
      <x:c r="X92" s="50"/>
      <x:c r="Y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4"/>
      <x:c r="J93" s="54"/>
      <x:c r="K93" s="54"/>
      <x:c r="L93" s="54"/>
      <x:c r="M93" s="54"/>
      <x:c r="N93" s="54"/>
      <x:c r="O93" s="54"/>
      <x:c r="P93" s="55" t="str">
        <x:f>IF(A93="","",I93*J93)</x:f>
      </x:c>
      <x:c r="Q93" s="55" t="str">
        <x:f>IF(A93="","",I93*K93)</x:f>
      </x:c>
      <x:c r="R93" s="55" t="str">
        <x:f>IF(A93="","",I93*L93)</x:f>
      </x:c>
      <x:c r="S93" s="55" t="str">
        <x:f>IF(A93="","",SUM(M93:O93))</x:f>
      </x:c>
      <x:c r="T93" s="55" t="str">
        <x:f>IF(A93="","",SUM(P93:S93))</x:f>
      </x:c>
      <x:c r="U93" s="55" t="str">
        <x:f>IF(A93="","",T93)</x:f>
      </x:c>
      <x:c r="V93" s="55" t="str">
        <x:f>IF(A93="","",U93*10%)</x:f>
      </x:c>
      <x:c r="W93" s="50"/>
      <x:c r="X93" s="50"/>
      <x:c r="Y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4"/>
      <x:c r="J94" s="54"/>
      <x:c r="K94" s="54"/>
      <x:c r="L94" s="54"/>
      <x:c r="M94" s="54"/>
      <x:c r="N94" s="54"/>
      <x:c r="O94" s="54"/>
      <x:c r="P94" s="55" t="str">
        <x:f>IF(A94="","",I94*J94)</x:f>
      </x:c>
      <x:c r="Q94" s="55" t="str">
        <x:f>IF(A94="","",I94*K94)</x:f>
      </x:c>
      <x:c r="R94" s="55" t="str">
        <x:f>IF(A94="","",I94*L94)</x:f>
      </x:c>
      <x:c r="S94" s="55" t="str">
        <x:f>IF(A94="","",SUM(M94:O94))</x:f>
      </x:c>
      <x:c r="T94" s="55" t="str">
        <x:f>IF(A94="","",SUM(P94:S94))</x:f>
      </x:c>
      <x:c r="U94" s="55" t="str">
        <x:f>IF(A94="","",T94)</x:f>
      </x:c>
      <x:c r="V94" s="55" t="str">
        <x:f>IF(A94="","",U94*10%)</x:f>
      </x:c>
      <x:c r="W94" s="50"/>
      <x:c r="X94" s="50"/>
      <x:c r="Y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4"/>
      <x:c r="J95" s="54"/>
      <x:c r="K95" s="54"/>
      <x:c r="L95" s="54"/>
      <x:c r="M95" s="54"/>
      <x:c r="N95" s="54"/>
      <x:c r="O95" s="54"/>
      <x:c r="P95" s="55" t="str">
        <x:f>IF(A95="","",I95*J95)</x:f>
      </x:c>
      <x:c r="Q95" s="55" t="str">
        <x:f>IF(A95="","",I95*K95)</x:f>
      </x:c>
      <x:c r="R95" s="55" t="str">
        <x:f>IF(A95="","",I95*L95)</x:f>
      </x:c>
      <x:c r="S95" s="55" t="str">
        <x:f>IF(A95="","",SUM(M95:O95))</x:f>
      </x:c>
      <x:c r="T95" s="55" t="str">
        <x:f>IF(A95="","",SUM(P95:S95))</x:f>
      </x:c>
      <x:c r="U95" s="55" t="str">
        <x:f>IF(A95="","",T95)</x:f>
      </x:c>
      <x:c r="V95" s="55" t="str">
        <x:f>IF(A95="","",U95*10%)</x:f>
      </x:c>
      <x:c r="W95" s="50"/>
      <x:c r="X95" s="50"/>
      <x:c r="Y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4"/>
      <x:c r="J96" s="54"/>
      <x:c r="K96" s="54"/>
      <x:c r="L96" s="54"/>
      <x:c r="M96" s="54"/>
      <x:c r="N96" s="54"/>
      <x:c r="O96" s="54"/>
      <x:c r="P96" s="55" t="str">
        <x:f>IF(A96="","",I96*J96)</x:f>
      </x:c>
      <x:c r="Q96" s="55" t="str">
        <x:f>IF(A96="","",I96*K96)</x:f>
      </x:c>
      <x:c r="R96" s="55" t="str">
        <x:f>IF(A96="","",I96*L96)</x:f>
      </x:c>
      <x:c r="S96" s="55" t="str">
        <x:f>IF(A96="","",SUM(M96:O96))</x:f>
      </x:c>
      <x:c r="T96" s="55" t="str">
        <x:f>IF(A96="","",SUM(P96:S96))</x:f>
      </x:c>
      <x:c r="U96" s="55" t="str">
        <x:f>IF(A96="","",T96)</x:f>
      </x:c>
      <x:c r="V96" s="55" t="str">
        <x:f>IF(A96="","",U96*10%)</x:f>
      </x:c>
      <x:c r="W96" s="50"/>
      <x:c r="X96" s="50"/>
      <x:c r="Y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4"/>
      <x:c r="J97" s="54"/>
      <x:c r="K97" s="54"/>
      <x:c r="L97" s="54"/>
      <x:c r="M97" s="54"/>
      <x:c r="N97" s="54"/>
      <x:c r="O97" s="54"/>
      <x:c r="P97" s="55" t="str">
        <x:f>IF(A97="","",I97*J97)</x:f>
      </x:c>
      <x:c r="Q97" s="55" t="str">
        <x:f>IF(A97="","",I97*K97)</x:f>
      </x:c>
      <x:c r="R97" s="55" t="str">
        <x:f>IF(A97="","",I97*L97)</x:f>
      </x:c>
      <x:c r="S97" s="55" t="str">
        <x:f>IF(A97="","",SUM(M97:O97))</x:f>
      </x:c>
      <x:c r="T97" s="55" t="str">
        <x:f>IF(A97="","",SUM(P97:S97))</x:f>
      </x:c>
      <x:c r="U97" s="55" t="str">
        <x:f>IF(A97="","",T97)</x:f>
      </x:c>
      <x:c r="V97" s="55" t="str">
        <x:f>IF(A97="","",U97*10%)</x:f>
      </x:c>
      <x:c r="W97" s="50"/>
      <x:c r="X97" s="50"/>
      <x:c r="Y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4"/>
      <x:c r="J98" s="54"/>
      <x:c r="K98" s="54"/>
      <x:c r="L98" s="54"/>
      <x:c r="M98" s="54"/>
      <x:c r="N98" s="54"/>
      <x:c r="O98" s="54"/>
      <x:c r="P98" s="55" t="str">
        <x:f>IF(A98="","",I98*J98)</x:f>
      </x:c>
      <x:c r="Q98" s="55" t="str">
        <x:f>IF(A98="","",I98*K98)</x:f>
      </x:c>
      <x:c r="R98" s="55" t="str">
        <x:f>IF(A98="","",I98*L98)</x:f>
      </x:c>
      <x:c r="S98" s="55" t="str">
        <x:f>IF(A98="","",SUM(M98:O98))</x:f>
      </x:c>
      <x:c r="T98" s="55" t="str">
        <x:f>IF(A98="","",SUM(P98:S98))</x:f>
      </x:c>
      <x:c r="U98" s="55" t="str">
        <x:f>IF(A98="","",T98)</x:f>
      </x:c>
      <x:c r="V98" s="55" t="str">
        <x:f>IF(A98="","",U98*10%)</x:f>
      </x:c>
      <x:c r="W98" s="50"/>
      <x:c r="X98" s="50"/>
      <x:c r="Y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4"/>
      <x:c r="J99" s="54"/>
      <x:c r="K99" s="54"/>
      <x:c r="L99" s="54"/>
      <x:c r="M99" s="54"/>
      <x:c r="N99" s="54"/>
      <x:c r="O99" s="54"/>
      <x:c r="P99" s="55" t="str">
        <x:f>IF(A99="","",I99*J99)</x:f>
      </x:c>
      <x:c r="Q99" s="55" t="str">
        <x:f>IF(A99="","",I99*K99)</x:f>
      </x:c>
      <x:c r="R99" s="55" t="str">
        <x:f>IF(A99="","",I99*L99)</x:f>
      </x:c>
      <x:c r="S99" s="55" t="str">
        <x:f>IF(A99="","",SUM(M99:O99))</x:f>
      </x:c>
      <x:c r="T99" s="55" t="str">
        <x:f>IF(A99="","",SUM(P99:S99))</x:f>
      </x:c>
      <x:c r="U99" s="55" t="str">
        <x:f>IF(A99="","",T99)</x:f>
      </x:c>
      <x:c r="V99" s="55" t="str">
        <x:f>IF(A99="","",U99*10%)</x:f>
      </x:c>
      <x:c r="W99" s="50"/>
      <x:c r="X99" s="50"/>
      <x:c r="Y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4"/>
      <x:c r="J100" s="54"/>
      <x:c r="K100" s="54"/>
      <x:c r="L100" s="54"/>
      <x:c r="M100" s="54"/>
      <x:c r="N100" s="54"/>
      <x:c r="O100" s="54"/>
      <x:c r="P100" s="55" t="str">
        <x:f>IF(A100="","",I100*J100)</x:f>
      </x:c>
      <x:c r="Q100" s="55" t="str">
        <x:f>IF(A100="","",I100*K100)</x:f>
      </x:c>
      <x:c r="R100" s="55" t="str">
        <x:f>IF(A100="","",I100*L100)</x:f>
      </x:c>
      <x:c r="S100" s="55" t="str">
        <x:f>IF(A100="","",SUM(M100:O100))</x:f>
      </x:c>
      <x:c r="T100" s="55" t="str">
        <x:f>IF(A100="","",SUM(P100:S100))</x:f>
      </x:c>
      <x:c r="U100" s="55" t="str">
        <x:f>IF(A100="","",T100)</x:f>
      </x:c>
      <x:c r="V100" s="55" t="str">
        <x:f>IF(A100="","",U100*10%)</x:f>
      </x:c>
      <x:c r="W100" s="50"/>
      <x:c r="X100" s="50"/>
      <x:c r="Y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4"/>
      <x:c r="J101" s="54"/>
      <x:c r="K101" s="54"/>
      <x:c r="L101" s="54"/>
      <x:c r="M101" s="54"/>
      <x:c r="N101" s="54"/>
      <x:c r="O101" s="54"/>
      <x:c r="P101" s="55" t="str">
        <x:f>IF(A101="","",I101*J101)</x:f>
      </x:c>
      <x:c r="Q101" s="55" t="str">
        <x:f>IF(A101="","",I101*K101)</x:f>
      </x:c>
      <x:c r="R101" s="55" t="str">
        <x:f>IF(A101="","",I101*L101)</x:f>
      </x:c>
      <x:c r="S101" s="55" t="str">
        <x:f>IF(A101="","",SUM(M101:O101))</x:f>
      </x:c>
      <x:c r="T101" s="55" t="str">
        <x:f>IF(A101="","",SUM(P101:S101))</x:f>
      </x:c>
      <x:c r="U101" s="55" t="str">
        <x:f>IF(A101="","",T101)</x:f>
      </x:c>
      <x:c r="V101" s="55" t="str">
        <x:f>IF(A101="","",U101*10%)</x:f>
      </x:c>
      <x:c r="W101" s="50"/>
      <x:c r="X101" s="50"/>
      <x:c r="Y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4"/>
      <x:c r="J102" s="54"/>
      <x:c r="K102" s="54"/>
      <x:c r="L102" s="54"/>
      <x:c r="M102" s="54"/>
      <x:c r="N102" s="54"/>
      <x:c r="O102" s="54"/>
      <x:c r="P102" s="55" t="str">
        <x:f>IF(A102="","",I102*J102)</x:f>
      </x:c>
      <x:c r="Q102" s="55" t="str">
        <x:f>IF(A102="","",I102*K102)</x:f>
      </x:c>
      <x:c r="R102" s="55" t="str">
        <x:f>IF(A102="","",I102*L102)</x:f>
      </x:c>
      <x:c r="S102" s="55" t="str">
        <x:f>IF(A102="","",SUM(M102:O102))</x:f>
      </x:c>
      <x:c r="T102" s="55" t="str">
        <x:f>IF(A102="","",SUM(P102:S102))</x:f>
      </x:c>
      <x:c r="U102" s="55" t="str">
        <x:f>IF(A102="","",T102)</x:f>
      </x:c>
      <x:c r="V102" s="55" t="str">
        <x:f>IF(A102="","",U102*10%)</x:f>
      </x:c>
      <x:c r="W102" s="50"/>
      <x:c r="X102" s="50"/>
      <x:c r="Y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4"/>
      <x:c r="J103" s="54"/>
      <x:c r="K103" s="54"/>
      <x:c r="L103" s="54"/>
      <x:c r="M103" s="54"/>
      <x:c r="N103" s="54"/>
      <x:c r="O103" s="54"/>
      <x:c r="P103" s="55" t="str">
        <x:f>IF(A103="","",I103*J103)</x:f>
      </x:c>
      <x:c r="Q103" s="55" t="str">
        <x:f>IF(A103="","",I103*K103)</x:f>
      </x:c>
      <x:c r="R103" s="55" t="str">
        <x:f>IF(A103="","",I103*L103)</x:f>
      </x:c>
      <x:c r="S103" s="55" t="str">
        <x:f>IF(A103="","",SUM(M103:O103))</x:f>
      </x:c>
      <x:c r="T103" s="55" t="str">
        <x:f>IF(A103="","",SUM(P103:S103))</x:f>
      </x:c>
      <x:c r="U103" s="55" t="str">
        <x:f>IF(A103="","",T103)</x:f>
      </x:c>
      <x:c r="V103" s="55" t="str">
        <x:f>IF(A103="","",U103*10%)</x:f>
      </x:c>
      <x:c r="W103" s="50"/>
      <x:c r="X103" s="50"/>
      <x:c r="Y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4"/>
      <x:c r="J104" s="54"/>
      <x:c r="K104" s="54"/>
      <x:c r="L104" s="54"/>
      <x:c r="M104" s="54"/>
      <x:c r="N104" s="54"/>
      <x:c r="O104" s="54"/>
      <x:c r="P104" s="55" t="str">
        <x:f>IF(A104="","",I104*J104)</x:f>
      </x:c>
      <x:c r="Q104" s="55" t="str">
        <x:f>IF(A104="","",I104*K104)</x:f>
      </x:c>
      <x:c r="R104" s="55" t="str">
        <x:f>IF(A104="","",I104*L104)</x:f>
      </x:c>
      <x:c r="S104" s="55" t="str">
        <x:f>IF(A104="","",SUM(M104:O104))</x:f>
      </x:c>
      <x:c r="T104" s="55" t="str">
        <x:f>IF(A104="","",SUM(P104:S104))</x:f>
      </x:c>
      <x:c r="U104" s="55" t="str">
        <x:f>IF(A104="","",T104)</x:f>
      </x:c>
      <x:c r="V104" s="55" t="str">
        <x:f>IF(A104="","",U104*10%)</x:f>
      </x:c>
      <x:c r="W104" s="50"/>
      <x:c r="X104" s="50"/>
      <x:c r="Y104" s="50"/>
    </x:row>
  </x:sheetData>
  <x:mergeCells>
    <x:mergeCell ref="A1:Y1"/>
    <x:mergeCell ref="A2:Y2"/>
  </x:mergeCells>
  <x:dataValidations count="3">
    <x:dataValidation type="list" sqref="D5:D104">
      <x:formula1>"필수,선택,보류,제외"</x:formula1>
    </x:dataValidation>
    <x:dataValidation type="list" sqref="G5:G104">
      <x:formula1>"A,B,C,D,E"</x:formula1>
    </x:dataValidation>
    <x:dataValidation type="list" sqref="Y5:Y104">
      <x:formula1>"L1 초기 예상,L2 실측 가견적,L3 현장 확인,L4 업체 확정,L5 발주 확정"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6" hidden="0" customWidth="1"/>
    <x:col min="4" max="4" width="16" hidden="0" customWidth="1"/>
    <x:col min="5" max="5" width="22" hidden="0" customWidth="1"/>
    <x:col min="6" max="6" width="22" hidden="0" customWidth="1"/>
    <x:col min="7" max="7" width="11" hidden="0" customWidth="1"/>
    <x:col min="8" max="8" width="10" hidden="0" customWidth="1"/>
    <x:col min="9" max="9" width="11" hidden="0" customWidth="1"/>
    <x:col min="10" max="10" width="11" hidden="0" customWidth="1"/>
    <x:col min="11" max="11" width="13" hidden="0" customWidth="1"/>
    <x:col min="12" max="12" width="13" hidden="0" customWidth="1"/>
    <x:col min="13" max="13" width="15" hidden="0" customWidth="1"/>
    <x:col min="14" max="14" width="18" hidden="0" customWidth="1"/>
    <x:col min="15" max="15" width="34" hidden="0" customWidth="1"/>
    <x:col min="16" max="16" width="13" hidden="0" customWidth="1"/>
    <x:col min="17" max="17" width="22" hidden="0" customWidth="1"/>
    <x:col min="18" max="18" width="24" hidden="0" customWidth="1"/>
    <x:col min="19" max="19" width="30" hidden="0" customWidth="1"/>
    <x:col min="20" max="20" width="22" hidden="0" customWidth="1"/>
    <x:col min="21" max="21" width="17" hidden="0" customWidth="1"/>
  </x:cols>
  <x:sheetData>
    <x:row r="1" ht="34" customHeight="1">
      <x:c r="A1" s="3" t="str">
        <x:v>04 | 마감재·구매 정보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8" customHeight="1">
      <x:c r="A2" s="7" t="str">
        <x:v>인기보다 현장 적합성, 관리성, 재고, A/S와 실제 발주 조건을 우선합니다.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25" customHeight="1">
      <x:c r="A4" s="16" t="str">
        <x:v>ID</x:v>
      </x:c>
      <x:c r="B4" s="17" t="str">
        <x:v>공간</x:v>
      </x:c>
      <x:c r="C4" s="17" t="str">
        <x:v>분류</x:v>
      </x:c>
      <x:c r="D4" s="17" t="str">
        <x:v>브랜드</x:v>
      </x:c>
      <x:c r="E4" s="17" t="str">
        <x:v>제품·모델</x:v>
      </x:c>
      <x:c r="F4" s="17" t="str">
        <x:v>규격·색상</x:v>
      </x:c>
      <x:c r="G4" s="17" t="str">
        <x:v>필요량</x:v>
      </x:c>
      <x:c r="H4" s="17" t="str">
        <x:v>손실률</x:v>
      </x:c>
      <x:c r="I4" s="17" t="str">
        <x:v>포장단위</x:v>
      </x:c>
      <x:c r="J4" s="17" t="str">
        <x:v>발주량</x:v>
      </x:c>
      <x:c r="K4" s="17" t="str">
        <x:v>단가</x:v>
      </x:c>
      <x:c r="L4" s="17" t="str">
        <x:v>배송비</x:v>
      </x:c>
      <x:c r="M4" s="17" t="str">
        <x:v>예상합계</x:v>
      </x:c>
      <x:c r="N4" s="17" t="str">
        <x:v>판매처</x:v>
      </x:c>
      <x:c r="O4" s="17" t="str">
        <x:v>구매 URL</x:v>
      </x:c>
      <x:c r="P4" s="17" t="str">
        <x:v>확인일</x:v>
      </x:c>
      <x:c r="Q4" s="17" t="str">
        <x:v>관리성</x:v>
      </x:c>
      <x:c r="R4" s="17" t="str">
        <x:v>장점</x:v>
      </x:c>
      <x:c r="S4" s="17" t="str">
        <x:v>단점·비추천 조건</x:v>
      </x:c>
      <x:c r="T4" s="17" t="str">
        <x:v>대체제품</x:v>
      </x:c>
      <x:c r="U4" s="18" t="str">
        <x:v>판정</x:v>
      </x:c>
    </x:row>
    <x:row r="5">
      <x:c r="A5" s="50" t="str">
        <x:v>M001</x:v>
      </x:c>
      <x:c r="B5" s="50" t="str">
        <x:v>욕실</x:v>
      </x:c>
      <x:c r="C5" s="50" t="str">
        <x:v>바닥 타일</x:v>
      </x:c>
      <x:c r="D5" s="50" t="str">
        <x:v>[브랜드]</x:v>
      </x:c>
      <x:c r="E5" s="50" t="str">
        <x:v>[모델]</x:v>
      </x:c>
      <x:c r="F5" s="50" t="str">
        <x:v>[규격/색상]</x:v>
      </x:c>
      <x:c r="G5" s="50" t="n">
        <x:v>0</x:v>
      </x:c>
      <x:c r="H5" s="57" t="n">
        <x:v>0.1</x:v>
      </x:c>
      <x:c r="I5" s="50" t="n">
        <x:v>1</x:v>
      </x:c>
      <x:c r="J5" s="54" t="n">
        <x:f>IF(A5="","",IF(I5=0,0,ROUNDUP(G5*(1+H5)/I5,0)*I5))</x:f>
        <x:v>0</x:v>
      </x:c>
      <x:c r="K5" s="54" t="n">
        <x:v>0</x:v>
      </x:c>
      <x:c r="L5" s="54" t="n">
        <x:v>0</x:v>
      </x:c>
      <x:c r="M5" s="55" t="n">
        <x:f>IF(A5="","",J5*K5+L5)</x:f>
        <x:v>0</x:v>
      </x:c>
      <x:c r="N5" s="50" t="str">
        <x:v>[판매처]</x:v>
      </x:c>
      <x:c r="O5" s="50" t="str">
        <x:v>https://</x:v>
      </x:c>
      <x:c r="P5" s="50" t="str">
        <x:v>[확인일]</x:v>
      </x:c>
      <x:c r="Q5" s="50" t="str">
        <x:v>[청소/보수]</x:v>
      </x:c>
      <x:c r="R5" s="50" t="str">
        <x:v>[장점]</x:v>
      </x:c>
      <x:c r="S5" s="50" t="str">
        <x:v>[주의점]</x:v>
      </x:c>
      <x:c r="T5" s="50" t="str">
        <x:v>[대체품]</x:v>
      </x:c>
      <x:c r="U5" s="50" t="str">
        <x:v>현장 조건 확인</x:v>
      </x:c>
    </x:row>
    <x:row r="6">
      <x:c r="A6" s="50" t="str">
        <x:v>M002</x:v>
      </x:c>
      <x:c r="B6" s="50" t="str">
        <x:v>거실</x:v>
      </x:c>
      <x:c r="C6" s="50" t="str">
        <x:v>벽 마감</x:v>
      </x:c>
      <x:c r="D6" s="50" t="str">
        <x:v>[브랜드]</x:v>
      </x:c>
      <x:c r="E6" s="50" t="str">
        <x:v>[모델]</x:v>
      </x:c>
      <x:c r="F6" s="50" t="str">
        <x:v>[규격/색상]</x:v>
      </x:c>
      <x:c r="G6" s="50" t="n">
        <x:v>0</x:v>
      </x:c>
      <x:c r="H6" s="57" t="n">
        <x:v>0.08</x:v>
      </x:c>
      <x:c r="I6" s="50" t="n">
        <x:v>1</x:v>
      </x:c>
      <x:c r="J6" s="54" t="n">
        <x:f>IF(A6="","",IF(I6=0,0,ROUNDUP(G6*(1+H6)/I6,0)*I6))</x:f>
        <x:v>0</x:v>
      </x:c>
      <x:c r="K6" s="54" t="n">
        <x:v>0</x:v>
      </x:c>
      <x:c r="L6" s="54" t="n">
        <x:v>0</x:v>
      </x:c>
      <x:c r="M6" s="55" t="n">
        <x:f>IF(A6="","",J6*K6+L6)</x:f>
        <x:v>0</x:v>
      </x:c>
      <x:c r="N6" s="50" t="str">
        <x:v>[판매처]</x:v>
      </x:c>
      <x:c r="O6" s="50" t="str">
        <x:v>https://</x:v>
      </x:c>
      <x:c r="P6" s="50" t="str">
        <x:v>[확인일]</x:v>
      </x:c>
      <x:c r="Q6" s="50" t="str">
        <x:v>[청소/보수]</x:v>
      </x:c>
      <x:c r="R6" s="50" t="str">
        <x:v>[장점]</x:v>
      </x:c>
      <x:c r="S6" s="50" t="str">
        <x:v>[주의점]</x:v>
      </x:c>
      <x:c r="T6" s="50" t="str">
        <x:v>[대체품]</x:v>
      </x:c>
      <x:c r="U6" s="50" t="str">
        <x:v>조건부 추천</x:v>
      </x:c>
    </x:row>
    <x:row r="7">
      <x:c r="A7" s="50"/>
      <x:c r="B7" s="50"/>
      <x:c r="C7" s="50"/>
      <x:c r="D7" s="50"/>
      <x:c r="E7" s="50"/>
      <x:c r="F7" s="50"/>
      <x:c r="G7" s="50"/>
      <x:c r="H7" s="57"/>
      <x:c r="I7" s="50"/>
      <x:c r="J7" s="54" t="str">
        <x:f>IF(A7="","",IF(I7=0,0,ROUNDUP(G7*(1+H7)/I7,0)*I7))</x:f>
      </x:c>
      <x:c r="K7" s="54"/>
      <x:c r="L7" s="54"/>
      <x:c r="M7" s="55" t="str">
        <x:f>IF(A7="","",J7*K7+L7)</x:f>
      </x:c>
      <x:c r="N7" s="50"/>
      <x:c r="O7" s="50"/>
      <x:c r="P7" s="50"/>
      <x:c r="Q7" s="50"/>
      <x:c r="R7" s="50"/>
      <x:c r="S7" s="50"/>
      <x:c r="T7" s="50"/>
      <x:c r="U7" s="50"/>
    </x:row>
    <x:row r="8">
      <x:c r="A8" s="50"/>
      <x:c r="B8" s="50"/>
      <x:c r="C8" s="50"/>
      <x:c r="D8" s="50"/>
      <x:c r="E8" s="50"/>
      <x:c r="F8" s="50"/>
      <x:c r="G8" s="50"/>
      <x:c r="H8" s="57"/>
      <x:c r="I8" s="50"/>
      <x:c r="J8" s="54" t="str">
        <x:f>IF(A8="","",IF(I8=0,0,ROUNDUP(G8*(1+H8)/I8,0)*I8))</x:f>
      </x:c>
      <x:c r="K8" s="54"/>
      <x:c r="L8" s="54"/>
      <x:c r="M8" s="55" t="str">
        <x:f>IF(A8="","",J8*K8+L8)</x:f>
      </x:c>
      <x:c r="N8" s="50"/>
      <x:c r="O8" s="50"/>
      <x:c r="P8" s="50"/>
      <x:c r="Q8" s="50"/>
      <x:c r="R8" s="50"/>
      <x:c r="S8" s="50"/>
      <x:c r="T8" s="50"/>
      <x:c r="U8" s="50"/>
    </x:row>
    <x:row r="9">
      <x:c r="A9" s="50"/>
      <x:c r="B9" s="50"/>
      <x:c r="C9" s="50"/>
      <x:c r="D9" s="50"/>
      <x:c r="E9" s="50"/>
      <x:c r="F9" s="50"/>
      <x:c r="G9" s="50"/>
      <x:c r="H9" s="57"/>
      <x:c r="I9" s="50"/>
      <x:c r="J9" s="54" t="str">
        <x:f>IF(A9="","",IF(I9=0,0,ROUNDUP(G9*(1+H9)/I9,0)*I9))</x:f>
      </x:c>
      <x:c r="K9" s="54"/>
      <x:c r="L9" s="54"/>
      <x:c r="M9" s="55" t="str">
        <x:f>IF(A9="","",J9*K9+L9)</x:f>
      </x:c>
      <x:c r="N9" s="50"/>
      <x:c r="O9" s="50"/>
      <x:c r="P9" s="50"/>
      <x:c r="Q9" s="50"/>
      <x:c r="R9" s="50"/>
      <x:c r="S9" s="50"/>
      <x:c r="T9" s="50"/>
      <x:c r="U9" s="50"/>
    </x:row>
    <x:row r="10">
      <x:c r="A10" s="50"/>
      <x:c r="B10" s="50"/>
      <x:c r="C10" s="50"/>
      <x:c r="D10" s="50"/>
      <x:c r="E10" s="50"/>
      <x:c r="F10" s="50"/>
      <x:c r="G10" s="50"/>
      <x:c r="H10" s="57"/>
      <x:c r="I10" s="50"/>
      <x:c r="J10" s="54" t="str">
        <x:f>IF(A10="","",IF(I10=0,0,ROUNDUP(G10*(1+H10)/I10,0)*I10))</x:f>
      </x:c>
      <x:c r="K10" s="54"/>
      <x:c r="L10" s="54"/>
      <x:c r="M10" s="55" t="str">
        <x:f>IF(A10="","",J10*K10+L10)</x:f>
      </x:c>
      <x:c r="N10" s="50"/>
      <x:c r="O10" s="50"/>
      <x:c r="P10" s="50"/>
      <x:c r="Q10" s="50"/>
      <x:c r="R10" s="50"/>
      <x:c r="S10" s="50"/>
      <x:c r="T10" s="50"/>
      <x:c r="U10" s="50"/>
    </x:row>
    <x:row r="11">
      <x:c r="A11" s="50"/>
      <x:c r="B11" s="50"/>
      <x:c r="C11" s="50"/>
      <x:c r="D11" s="50"/>
      <x:c r="E11" s="50"/>
      <x:c r="F11" s="50"/>
      <x:c r="G11" s="50"/>
      <x:c r="H11" s="57"/>
      <x:c r="I11" s="50"/>
      <x:c r="J11" s="54" t="str">
        <x:f>IF(A11="","",IF(I11=0,0,ROUNDUP(G11*(1+H11)/I11,0)*I11))</x:f>
      </x:c>
      <x:c r="K11" s="54"/>
      <x:c r="L11" s="54"/>
      <x:c r="M11" s="55" t="str">
        <x:f>IF(A11="","",J11*K11+L11)</x:f>
      </x:c>
      <x:c r="N11" s="50"/>
      <x:c r="O11" s="50"/>
      <x:c r="P11" s="50"/>
      <x:c r="Q11" s="50"/>
      <x:c r="R11" s="50"/>
      <x:c r="S11" s="50"/>
      <x:c r="T11" s="50"/>
      <x:c r="U11" s="50"/>
    </x:row>
    <x:row r="12">
      <x:c r="A12" s="50"/>
      <x:c r="B12" s="50"/>
      <x:c r="C12" s="50"/>
      <x:c r="D12" s="50"/>
      <x:c r="E12" s="50"/>
      <x:c r="F12" s="50"/>
      <x:c r="G12" s="50"/>
      <x:c r="H12" s="57"/>
      <x:c r="I12" s="50"/>
      <x:c r="J12" s="54" t="str">
        <x:f>IF(A12="","",IF(I12=0,0,ROUNDUP(G12*(1+H12)/I12,0)*I12))</x:f>
      </x:c>
      <x:c r="K12" s="54"/>
      <x:c r="L12" s="54"/>
      <x:c r="M12" s="55" t="str">
        <x:f>IF(A12="","",J12*K12+L12)</x:f>
      </x:c>
      <x:c r="N12" s="50"/>
      <x:c r="O12" s="50"/>
      <x:c r="P12" s="50"/>
      <x:c r="Q12" s="50"/>
      <x:c r="R12" s="50"/>
      <x:c r="S12" s="50"/>
      <x:c r="T12" s="50"/>
      <x:c r="U12" s="50"/>
    </x:row>
    <x:row r="13">
      <x:c r="A13" s="50"/>
      <x:c r="B13" s="50"/>
      <x:c r="C13" s="50"/>
      <x:c r="D13" s="50"/>
      <x:c r="E13" s="50"/>
      <x:c r="F13" s="50"/>
      <x:c r="G13" s="50"/>
      <x:c r="H13" s="57"/>
      <x:c r="I13" s="50"/>
      <x:c r="J13" s="54" t="str">
        <x:f>IF(A13="","",IF(I13=0,0,ROUNDUP(G13*(1+H13)/I13,0)*I13))</x:f>
      </x:c>
      <x:c r="K13" s="54"/>
      <x:c r="L13" s="54"/>
      <x:c r="M13" s="55" t="str">
        <x:f>IF(A13="","",J13*K13+L13)</x:f>
      </x:c>
      <x:c r="N13" s="50"/>
      <x:c r="O13" s="50"/>
      <x:c r="P13" s="50"/>
      <x:c r="Q13" s="50"/>
      <x:c r="R13" s="50"/>
      <x:c r="S13" s="50"/>
      <x:c r="T13" s="50"/>
      <x:c r="U13" s="50"/>
    </x:row>
    <x:row r="14">
      <x:c r="A14" s="50"/>
      <x:c r="B14" s="50"/>
      <x:c r="C14" s="50"/>
      <x:c r="D14" s="50"/>
      <x:c r="E14" s="50"/>
      <x:c r="F14" s="50"/>
      <x:c r="G14" s="50"/>
      <x:c r="H14" s="57"/>
      <x:c r="I14" s="50"/>
      <x:c r="J14" s="54" t="str">
        <x:f>IF(A14="","",IF(I14=0,0,ROUNDUP(G14*(1+H14)/I14,0)*I14))</x:f>
      </x:c>
      <x:c r="K14" s="54"/>
      <x:c r="L14" s="54"/>
      <x:c r="M14" s="55" t="str">
        <x:f>IF(A14="","",J14*K14+L14)</x:f>
      </x:c>
      <x:c r="N14" s="50"/>
      <x:c r="O14" s="50"/>
      <x:c r="P14" s="50"/>
      <x:c r="Q14" s="50"/>
      <x:c r="R14" s="50"/>
      <x:c r="S14" s="50"/>
      <x:c r="T14" s="50"/>
      <x:c r="U14" s="50"/>
    </x:row>
    <x:row r="15">
      <x:c r="A15" s="50"/>
      <x:c r="B15" s="50"/>
      <x:c r="C15" s="50"/>
      <x:c r="D15" s="50"/>
      <x:c r="E15" s="50"/>
      <x:c r="F15" s="50"/>
      <x:c r="G15" s="50"/>
      <x:c r="H15" s="57"/>
      <x:c r="I15" s="50"/>
      <x:c r="J15" s="54" t="str">
        <x:f>IF(A15="","",IF(I15=0,0,ROUNDUP(G15*(1+H15)/I15,0)*I15))</x:f>
      </x:c>
      <x:c r="K15" s="54"/>
      <x:c r="L15" s="54"/>
      <x:c r="M15" s="55" t="str">
        <x:f>IF(A15="","",J15*K15+L15)</x:f>
      </x:c>
      <x:c r="N15" s="50"/>
      <x:c r="O15" s="50"/>
      <x:c r="P15" s="50"/>
      <x:c r="Q15" s="50"/>
      <x:c r="R15" s="50"/>
      <x:c r="S15" s="50"/>
      <x:c r="T15" s="50"/>
      <x:c r="U15" s="50"/>
    </x:row>
    <x:row r="16">
      <x:c r="A16" s="50"/>
      <x:c r="B16" s="50"/>
      <x:c r="C16" s="50"/>
      <x:c r="D16" s="50"/>
      <x:c r="E16" s="50"/>
      <x:c r="F16" s="50"/>
      <x:c r="G16" s="50"/>
      <x:c r="H16" s="57"/>
      <x:c r="I16" s="50"/>
      <x:c r="J16" s="54" t="str">
        <x:f>IF(A16="","",IF(I16=0,0,ROUNDUP(G16*(1+H16)/I16,0)*I16))</x:f>
      </x:c>
      <x:c r="K16" s="54"/>
      <x:c r="L16" s="54"/>
      <x:c r="M16" s="55" t="str">
        <x:f>IF(A16="","",J16*K16+L16)</x:f>
      </x:c>
      <x:c r="N16" s="50"/>
      <x:c r="O16" s="50"/>
      <x:c r="P16" s="50"/>
      <x:c r="Q16" s="50"/>
      <x:c r="R16" s="50"/>
      <x:c r="S16" s="50"/>
      <x:c r="T16" s="50"/>
      <x:c r="U16" s="50"/>
    </x:row>
    <x:row r="17">
      <x:c r="A17" s="50"/>
      <x:c r="B17" s="50"/>
      <x:c r="C17" s="50"/>
      <x:c r="D17" s="50"/>
      <x:c r="E17" s="50"/>
      <x:c r="F17" s="50"/>
      <x:c r="G17" s="50"/>
      <x:c r="H17" s="57"/>
      <x:c r="I17" s="50"/>
      <x:c r="J17" s="54" t="str">
        <x:f>IF(A17="","",IF(I17=0,0,ROUNDUP(G17*(1+H17)/I17,0)*I17))</x:f>
      </x:c>
      <x:c r="K17" s="54"/>
      <x:c r="L17" s="54"/>
      <x:c r="M17" s="55" t="str">
        <x:f>IF(A17="","",J17*K17+L17)</x:f>
      </x:c>
      <x:c r="N17" s="50"/>
      <x:c r="O17" s="50"/>
      <x:c r="P17" s="50"/>
      <x:c r="Q17" s="50"/>
      <x:c r="R17" s="50"/>
      <x:c r="S17" s="50"/>
      <x:c r="T17" s="50"/>
      <x:c r="U17" s="50"/>
    </x:row>
    <x:row r="18">
      <x:c r="A18" s="50"/>
      <x:c r="B18" s="50"/>
      <x:c r="C18" s="50"/>
      <x:c r="D18" s="50"/>
      <x:c r="E18" s="50"/>
      <x:c r="F18" s="50"/>
      <x:c r="G18" s="50"/>
      <x:c r="H18" s="57"/>
      <x:c r="I18" s="50"/>
      <x:c r="J18" s="54" t="str">
        <x:f>IF(A18="","",IF(I18=0,0,ROUNDUP(G18*(1+H18)/I18,0)*I18))</x:f>
      </x:c>
      <x:c r="K18" s="54"/>
      <x:c r="L18" s="54"/>
      <x:c r="M18" s="55" t="str">
        <x:f>IF(A18="","",J18*K18+L18)</x:f>
      </x:c>
      <x:c r="N18" s="50"/>
      <x:c r="O18" s="50"/>
      <x:c r="P18" s="50"/>
      <x:c r="Q18" s="50"/>
      <x:c r="R18" s="50"/>
      <x:c r="S18" s="50"/>
      <x:c r="T18" s="50"/>
      <x:c r="U18" s="50"/>
    </x:row>
    <x:row r="19">
      <x:c r="A19" s="50"/>
      <x:c r="B19" s="50"/>
      <x:c r="C19" s="50"/>
      <x:c r="D19" s="50"/>
      <x:c r="E19" s="50"/>
      <x:c r="F19" s="50"/>
      <x:c r="G19" s="50"/>
      <x:c r="H19" s="57"/>
      <x:c r="I19" s="50"/>
      <x:c r="J19" s="54" t="str">
        <x:f>IF(A19="","",IF(I19=0,0,ROUNDUP(G19*(1+H19)/I19,0)*I19))</x:f>
      </x:c>
      <x:c r="K19" s="54"/>
      <x:c r="L19" s="54"/>
      <x:c r="M19" s="55" t="str">
        <x:f>IF(A19="","",J19*K19+L19)</x:f>
      </x:c>
      <x:c r="N19" s="50"/>
      <x:c r="O19" s="50"/>
      <x:c r="P19" s="50"/>
      <x:c r="Q19" s="50"/>
      <x:c r="R19" s="50"/>
      <x:c r="S19" s="50"/>
      <x:c r="T19" s="50"/>
      <x:c r="U19" s="50"/>
    </x:row>
    <x:row r="20">
      <x:c r="A20" s="50"/>
      <x:c r="B20" s="50"/>
      <x:c r="C20" s="50"/>
      <x:c r="D20" s="50"/>
      <x:c r="E20" s="50"/>
      <x:c r="F20" s="50"/>
      <x:c r="G20" s="50"/>
      <x:c r="H20" s="57"/>
      <x:c r="I20" s="50"/>
      <x:c r="J20" s="54" t="str">
        <x:f>IF(A20="","",IF(I20=0,0,ROUNDUP(G20*(1+H20)/I20,0)*I20))</x:f>
      </x:c>
      <x:c r="K20" s="54"/>
      <x:c r="L20" s="54"/>
      <x:c r="M20" s="55" t="str">
        <x:f>IF(A20="","",J20*K20+L20)</x:f>
      </x:c>
      <x:c r="N20" s="50"/>
      <x:c r="O20" s="50"/>
      <x:c r="P20" s="50"/>
      <x:c r="Q20" s="50"/>
      <x:c r="R20" s="50"/>
      <x:c r="S20" s="50"/>
      <x:c r="T20" s="50"/>
      <x:c r="U20" s="50"/>
    </x:row>
    <x:row r="21">
      <x:c r="A21" s="50"/>
      <x:c r="B21" s="50"/>
      <x:c r="C21" s="50"/>
      <x:c r="D21" s="50"/>
      <x:c r="E21" s="50"/>
      <x:c r="F21" s="50"/>
      <x:c r="G21" s="50"/>
      <x:c r="H21" s="57"/>
      <x:c r="I21" s="50"/>
      <x:c r="J21" s="54" t="str">
        <x:f>IF(A21="","",IF(I21=0,0,ROUNDUP(G21*(1+H21)/I21,0)*I21))</x:f>
      </x:c>
      <x:c r="K21" s="54"/>
      <x:c r="L21" s="54"/>
      <x:c r="M21" s="55" t="str">
        <x:f>IF(A21="","",J21*K21+L21)</x:f>
      </x:c>
      <x:c r="N21" s="50"/>
      <x:c r="O21" s="50"/>
      <x:c r="P21" s="50"/>
      <x:c r="Q21" s="50"/>
      <x:c r="R21" s="50"/>
      <x:c r="S21" s="50"/>
      <x:c r="T21" s="50"/>
      <x:c r="U21" s="50"/>
    </x:row>
    <x:row r="22">
      <x:c r="A22" s="50"/>
      <x:c r="B22" s="50"/>
      <x:c r="C22" s="50"/>
      <x:c r="D22" s="50"/>
      <x:c r="E22" s="50"/>
      <x:c r="F22" s="50"/>
      <x:c r="G22" s="50"/>
      <x:c r="H22" s="57"/>
      <x:c r="I22" s="50"/>
      <x:c r="J22" s="54" t="str">
        <x:f>IF(A22="","",IF(I22=0,0,ROUNDUP(G22*(1+H22)/I22,0)*I22))</x:f>
      </x:c>
      <x:c r="K22" s="54"/>
      <x:c r="L22" s="54"/>
      <x:c r="M22" s="55" t="str">
        <x:f>IF(A22="","",J22*K22+L22)</x:f>
      </x:c>
      <x:c r="N22" s="50"/>
      <x:c r="O22" s="50"/>
      <x:c r="P22" s="50"/>
      <x:c r="Q22" s="50"/>
      <x:c r="R22" s="50"/>
      <x:c r="S22" s="50"/>
      <x:c r="T22" s="50"/>
      <x:c r="U22" s="50"/>
    </x:row>
    <x:row r="23">
      <x:c r="A23" s="50"/>
      <x:c r="B23" s="50"/>
      <x:c r="C23" s="50"/>
      <x:c r="D23" s="50"/>
      <x:c r="E23" s="50"/>
      <x:c r="F23" s="50"/>
      <x:c r="G23" s="50"/>
      <x:c r="H23" s="57"/>
      <x:c r="I23" s="50"/>
      <x:c r="J23" s="54" t="str">
        <x:f>IF(A23="","",IF(I23=0,0,ROUNDUP(G23*(1+H23)/I23,0)*I23))</x:f>
      </x:c>
      <x:c r="K23" s="54"/>
      <x:c r="L23" s="54"/>
      <x:c r="M23" s="55" t="str">
        <x:f>IF(A23="","",J23*K23+L23)</x:f>
      </x:c>
      <x:c r="N23" s="50"/>
      <x:c r="O23" s="50"/>
      <x:c r="P23" s="50"/>
      <x:c r="Q23" s="50"/>
      <x:c r="R23" s="50"/>
      <x:c r="S23" s="50"/>
      <x:c r="T23" s="50"/>
      <x:c r="U23" s="50"/>
    </x:row>
    <x:row r="24">
      <x:c r="A24" s="50"/>
      <x:c r="B24" s="50"/>
      <x:c r="C24" s="50"/>
      <x:c r="D24" s="50"/>
      <x:c r="E24" s="50"/>
      <x:c r="F24" s="50"/>
      <x:c r="G24" s="50"/>
      <x:c r="H24" s="57"/>
      <x:c r="I24" s="50"/>
      <x:c r="J24" s="54" t="str">
        <x:f>IF(A24="","",IF(I24=0,0,ROUNDUP(G24*(1+H24)/I24,0)*I24))</x:f>
      </x:c>
      <x:c r="K24" s="54"/>
      <x:c r="L24" s="54"/>
      <x:c r="M24" s="55" t="str">
        <x:f>IF(A24="","",J24*K24+L24)</x:f>
      </x:c>
      <x:c r="N24" s="50"/>
      <x:c r="O24" s="50"/>
      <x:c r="P24" s="50"/>
      <x:c r="Q24" s="50"/>
      <x:c r="R24" s="50"/>
      <x:c r="S24" s="50"/>
      <x:c r="T24" s="50"/>
      <x:c r="U24" s="50"/>
    </x:row>
    <x:row r="25">
      <x:c r="A25" s="50"/>
      <x:c r="B25" s="50"/>
      <x:c r="C25" s="50"/>
      <x:c r="D25" s="50"/>
      <x:c r="E25" s="50"/>
      <x:c r="F25" s="50"/>
      <x:c r="G25" s="50"/>
      <x:c r="H25" s="57"/>
      <x:c r="I25" s="50"/>
      <x:c r="J25" s="54" t="str">
        <x:f>IF(A25="","",IF(I25=0,0,ROUNDUP(G25*(1+H25)/I25,0)*I25))</x:f>
      </x:c>
      <x:c r="K25" s="54"/>
      <x:c r="L25" s="54"/>
      <x:c r="M25" s="55" t="str">
        <x:f>IF(A25="","",J25*K25+L25)</x:f>
      </x:c>
      <x:c r="N25" s="50"/>
      <x:c r="O25" s="50"/>
      <x:c r="P25" s="50"/>
      <x:c r="Q25" s="50"/>
      <x:c r="R25" s="50"/>
      <x:c r="S25" s="50"/>
      <x:c r="T25" s="50"/>
      <x:c r="U25" s="50"/>
    </x:row>
    <x:row r="26">
      <x:c r="A26" s="50"/>
      <x:c r="B26" s="50"/>
      <x:c r="C26" s="50"/>
      <x:c r="D26" s="50"/>
      <x:c r="E26" s="50"/>
      <x:c r="F26" s="50"/>
      <x:c r="G26" s="50"/>
      <x:c r="H26" s="57"/>
      <x:c r="I26" s="50"/>
      <x:c r="J26" s="54" t="str">
        <x:f>IF(A26="","",IF(I26=0,0,ROUNDUP(G26*(1+H26)/I26,0)*I26))</x:f>
      </x:c>
      <x:c r="K26" s="54"/>
      <x:c r="L26" s="54"/>
      <x:c r="M26" s="55" t="str">
        <x:f>IF(A26="","",J26*K26+L26)</x:f>
      </x:c>
      <x:c r="N26" s="50"/>
      <x:c r="O26" s="50"/>
      <x:c r="P26" s="50"/>
      <x:c r="Q26" s="50"/>
      <x:c r="R26" s="50"/>
      <x:c r="S26" s="50"/>
      <x:c r="T26" s="50"/>
      <x:c r="U26" s="50"/>
    </x:row>
    <x:row r="27">
      <x:c r="A27" s="50"/>
      <x:c r="B27" s="50"/>
      <x:c r="C27" s="50"/>
      <x:c r="D27" s="50"/>
      <x:c r="E27" s="50"/>
      <x:c r="F27" s="50"/>
      <x:c r="G27" s="50"/>
      <x:c r="H27" s="57"/>
      <x:c r="I27" s="50"/>
      <x:c r="J27" s="54" t="str">
        <x:f>IF(A27="","",IF(I27=0,0,ROUNDUP(G27*(1+H27)/I27,0)*I27))</x:f>
      </x:c>
      <x:c r="K27" s="54"/>
      <x:c r="L27" s="54"/>
      <x:c r="M27" s="55" t="str">
        <x:f>IF(A27="","",J27*K27+L27)</x:f>
      </x:c>
      <x:c r="N27" s="50"/>
      <x:c r="O27" s="50"/>
      <x:c r="P27" s="50"/>
      <x:c r="Q27" s="50"/>
      <x:c r="R27" s="50"/>
      <x:c r="S27" s="50"/>
      <x:c r="T27" s="50"/>
      <x:c r="U27" s="50"/>
    </x:row>
    <x:row r="28">
      <x:c r="A28" s="50"/>
      <x:c r="B28" s="50"/>
      <x:c r="C28" s="50"/>
      <x:c r="D28" s="50"/>
      <x:c r="E28" s="50"/>
      <x:c r="F28" s="50"/>
      <x:c r="G28" s="50"/>
      <x:c r="H28" s="57"/>
      <x:c r="I28" s="50"/>
      <x:c r="J28" s="54" t="str">
        <x:f>IF(A28="","",IF(I28=0,0,ROUNDUP(G28*(1+H28)/I28,0)*I28))</x:f>
      </x:c>
      <x:c r="K28" s="54"/>
      <x:c r="L28" s="54"/>
      <x:c r="M28" s="55" t="str">
        <x:f>IF(A28="","",J28*K28+L28)</x:f>
      </x:c>
      <x:c r="N28" s="50"/>
      <x:c r="O28" s="50"/>
      <x:c r="P28" s="50"/>
      <x:c r="Q28" s="50"/>
      <x:c r="R28" s="50"/>
      <x:c r="S28" s="50"/>
      <x:c r="T28" s="50"/>
      <x:c r="U28" s="50"/>
    </x:row>
    <x:row r="29">
      <x:c r="A29" s="50"/>
      <x:c r="B29" s="50"/>
      <x:c r="C29" s="50"/>
      <x:c r="D29" s="50"/>
      <x:c r="E29" s="50"/>
      <x:c r="F29" s="50"/>
      <x:c r="G29" s="50"/>
      <x:c r="H29" s="57"/>
      <x:c r="I29" s="50"/>
      <x:c r="J29" s="54" t="str">
        <x:f>IF(A29="","",IF(I29=0,0,ROUNDUP(G29*(1+H29)/I29,0)*I29))</x:f>
      </x:c>
      <x:c r="K29" s="54"/>
      <x:c r="L29" s="54"/>
      <x:c r="M29" s="55" t="str">
        <x:f>IF(A29="","",J29*K29+L29)</x:f>
      </x:c>
      <x:c r="N29" s="50"/>
      <x:c r="O29" s="50"/>
      <x:c r="P29" s="50"/>
      <x:c r="Q29" s="50"/>
      <x:c r="R29" s="50"/>
      <x:c r="S29" s="50"/>
      <x:c r="T29" s="50"/>
      <x:c r="U29" s="50"/>
    </x:row>
    <x:row r="30">
      <x:c r="A30" s="50"/>
      <x:c r="B30" s="50"/>
      <x:c r="C30" s="50"/>
      <x:c r="D30" s="50"/>
      <x:c r="E30" s="50"/>
      <x:c r="F30" s="50"/>
      <x:c r="G30" s="50"/>
      <x:c r="H30" s="57"/>
      <x:c r="I30" s="50"/>
      <x:c r="J30" s="54" t="str">
        <x:f>IF(A30="","",IF(I30=0,0,ROUNDUP(G30*(1+H30)/I30,0)*I30))</x:f>
      </x:c>
      <x:c r="K30" s="54"/>
      <x:c r="L30" s="54"/>
      <x:c r="M30" s="55" t="str">
        <x:f>IF(A30="","",J30*K30+L30)</x:f>
      </x:c>
      <x:c r="N30" s="50"/>
      <x:c r="O30" s="50"/>
      <x:c r="P30" s="50"/>
      <x:c r="Q30" s="50"/>
      <x:c r="R30" s="50"/>
      <x:c r="S30" s="50"/>
      <x:c r="T30" s="50"/>
      <x:c r="U30" s="50"/>
    </x:row>
    <x:row r="31">
      <x:c r="A31" s="50"/>
      <x:c r="B31" s="50"/>
      <x:c r="C31" s="50"/>
      <x:c r="D31" s="50"/>
      <x:c r="E31" s="50"/>
      <x:c r="F31" s="50"/>
      <x:c r="G31" s="50"/>
      <x:c r="H31" s="57"/>
      <x:c r="I31" s="50"/>
      <x:c r="J31" s="54" t="str">
        <x:f>IF(A31="","",IF(I31=0,0,ROUNDUP(G31*(1+H31)/I31,0)*I31))</x:f>
      </x:c>
      <x:c r="K31" s="54"/>
      <x:c r="L31" s="54"/>
      <x:c r="M31" s="55" t="str">
        <x:f>IF(A31="","",J31*K31+L31)</x:f>
      </x:c>
      <x:c r="N31" s="50"/>
      <x:c r="O31" s="50"/>
      <x:c r="P31" s="50"/>
      <x:c r="Q31" s="50"/>
      <x:c r="R31" s="50"/>
      <x:c r="S31" s="50"/>
      <x:c r="T31" s="50"/>
      <x:c r="U31" s="50"/>
    </x:row>
    <x:row r="32">
      <x:c r="A32" s="50"/>
      <x:c r="B32" s="50"/>
      <x:c r="C32" s="50"/>
      <x:c r="D32" s="50"/>
      <x:c r="E32" s="50"/>
      <x:c r="F32" s="50"/>
      <x:c r="G32" s="50"/>
      <x:c r="H32" s="57"/>
      <x:c r="I32" s="50"/>
      <x:c r="J32" s="54" t="str">
        <x:f>IF(A32="","",IF(I32=0,0,ROUNDUP(G32*(1+H32)/I32,0)*I32))</x:f>
      </x:c>
      <x:c r="K32" s="54"/>
      <x:c r="L32" s="54"/>
      <x:c r="M32" s="55" t="str">
        <x:f>IF(A32="","",J32*K32+L32)</x:f>
      </x:c>
      <x:c r="N32" s="50"/>
      <x:c r="O32" s="50"/>
      <x:c r="P32" s="50"/>
      <x:c r="Q32" s="50"/>
      <x:c r="R32" s="50"/>
      <x:c r="S32" s="50"/>
      <x:c r="T32" s="50"/>
      <x:c r="U32" s="50"/>
    </x:row>
    <x:row r="33">
      <x:c r="A33" s="50"/>
      <x:c r="B33" s="50"/>
      <x:c r="C33" s="50"/>
      <x:c r="D33" s="50"/>
      <x:c r="E33" s="50"/>
      <x:c r="F33" s="50"/>
      <x:c r="G33" s="50"/>
      <x:c r="H33" s="57"/>
      <x:c r="I33" s="50"/>
      <x:c r="J33" s="54" t="str">
        <x:f>IF(A33="","",IF(I33=0,0,ROUNDUP(G33*(1+H33)/I33,0)*I33))</x:f>
      </x:c>
      <x:c r="K33" s="54"/>
      <x:c r="L33" s="54"/>
      <x:c r="M33" s="55" t="str">
        <x:f>IF(A33="","",J33*K33+L33)</x:f>
      </x:c>
      <x:c r="N33" s="50"/>
      <x:c r="O33" s="50"/>
      <x:c r="P33" s="50"/>
      <x:c r="Q33" s="50"/>
      <x:c r="R33" s="50"/>
      <x:c r="S33" s="50"/>
      <x:c r="T33" s="50"/>
      <x:c r="U33" s="50"/>
    </x:row>
    <x:row r="34">
      <x:c r="A34" s="50"/>
      <x:c r="B34" s="50"/>
      <x:c r="C34" s="50"/>
      <x:c r="D34" s="50"/>
      <x:c r="E34" s="50"/>
      <x:c r="F34" s="50"/>
      <x:c r="G34" s="50"/>
      <x:c r="H34" s="57"/>
      <x:c r="I34" s="50"/>
      <x:c r="J34" s="54" t="str">
        <x:f>IF(A34="","",IF(I34=0,0,ROUNDUP(G34*(1+H34)/I34,0)*I34))</x:f>
      </x:c>
      <x:c r="K34" s="54"/>
      <x:c r="L34" s="54"/>
      <x:c r="M34" s="55" t="str">
        <x:f>IF(A34="","",J34*K34+L34)</x:f>
      </x:c>
      <x:c r="N34" s="50"/>
      <x:c r="O34" s="50"/>
      <x:c r="P34" s="50"/>
      <x:c r="Q34" s="50"/>
      <x:c r="R34" s="50"/>
      <x:c r="S34" s="50"/>
      <x:c r="T34" s="50"/>
      <x:c r="U34" s="50"/>
    </x:row>
    <x:row r="35">
      <x:c r="A35" s="50"/>
      <x:c r="B35" s="50"/>
      <x:c r="C35" s="50"/>
      <x:c r="D35" s="50"/>
      <x:c r="E35" s="50"/>
      <x:c r="F35" s="50"/>
      <x:c r="G35" s="50"/>
      <x:c r="H35" s="57"/>
      <x:c r="I35" s="50"/>
      <x:c r="J35" s="54" t="str">
        <x:f>IF(A35="","",IF(I35=0,0,ROUNDUP(G35*(1+H35)/I35,0)*I35))</x:f>
      </x:c>
      <x:c r="K35" s="54"/>
      <x:c r="L35" s="54"/>
      <x:c r="M35" s="55" t="str">
        <x:f>IF(A35="","",J35*K35+L35)</x:f>
      </x:c>
      <x:c r="N35" s="50"/>
      <x:c r="O35" s="50"/>
      <x:c r="P35" s="50"/>
      <x:c r="Q35" s="50"/>
      <x:c r="R35" s="50"/>
      <x:c r="S35" s="50"/>
      <x:c r="T35" s="50"/>
      <x:c r="U35" s="50"/>
    </x:row>
    <x:row r="36">
      <x:c r="A36" s="50"/>
      <x:c r="B36" s="50"/>
      <x:c r="C36" s="50"/>
      <x:c r="D36" s="50"/>
      <x:c r="E36" s="50"/>
      <x:c r="F36" s="50"/>
      <x:c r="G36" s="50"/>
      <x:c r="H36" s="57"/>
      <x:c r="I36" s="50"/>
      <x:c r="J36" s="54" t="str">
        <x:f>IF(A36="","",IF(I36=0,0,ROUNDUP(G36*(1+H36)/I36,0)*I36))</x:f>
      </x:c>
      <x:c r="K36" s="54"/>
      <x:c r="L36" s="54"/>
      <x:c r="M36" s="55" t="str">
        <x:f>IF(A36="","",J36*K36+L36)</x:f>
      </x:c>
      <x:c r="N36" s="50"/>
      <x:c r="O36" s="50"/>
      <x:c r="P36" s="50"/>
      <x:c r="Q36" s="50"/>
      <x:c r="R36" s="50"/>
      <x:c r="S36" s="50"/>
      <x:c r="T36" s="50"/>
      <x:c r="U36" s="50"/>
    </x:row>
    <x:row r="37">
      <x:c r="A37" s="50"/>
      <x:c r="B37" s="50"/>
      <x:c r="C37" s="50"/>
      <x:c r="D37" s="50"/>
      <x:c r="E37" s="50"/>
      <x:c r="F37" s="50"/>
      <x:c r="G37" s="50"/>
      <x:c r="H37" s="57"/>
      <x:c r="I37" s="50"/>
      <x:c r="J37" s="54" t="str">
        <x:f>IF(A37="","",IF(I37=0,0,ROUNDUP(G37*(1+H37)/I37,0)*I37))</x:f>
      </x:c>
      <x:c r="K37" s="54"/>
      <x:c r="L37" s="54"/>
      <x:c r="M37" s="55" t="str">
        <x:f>IF(A37="","",J37*K37+L37)</x:f>
      </x:c>
      <x:c r="N37" s="50"/>
      <x:c r="O37" s="50"/>
      <x:c r="P37" s="50"/>
      <x:c r="Q37" s="50"/>
      <x:c r="R37" s="50"/>
      <x:c r="S37" s="50"/>
      <x:c r="T37" s="50"/>
      <x:c r="U37" s="50"/>
    </x:row>
    <x:row r="38">
      <x:c r="A38" s="50"/>
      <x:c r="B38" s="50"/>
      <x:c r="C38" s="50"/>
      <x:c r="D38" s="50"/>
      <x:c r="E38" s="50"/>
      <x:c r="F38" s="50"/>
      <x:c r="G38" s="50"/>
      <x:c r="H38" s="57"/>
      <x:c r="I38" s="50"/>
      <x:c r="J38" s="54" t="str">
        <x:f>IF(A38="","",IF(I38=0,0,ROUNDUP(G38*(1+H38)/I38,0)*I38))</x:f>
      </x:c>
      <x:c r="K38" s="54"/>
      <x:c r="L38" s="54"/>
      <x:c r="M38" s="55" t="str">
        <x:f>IF(A38="","",J38*K38+L38)</x:f>
      </x:c>
      <x:c r="N38" s="50"/>
      <x:c r="O38" s="50"/>
      <x:c r="P38" s="50"/>
      <x:c r="Q38" s="50"/>
      <x:c r="R38" s="50"/>
      <x:c r="S38" s="50"/>
      <x:c r="T38" s="50"/>
      <x:c r="U38" s="50"/>
    </x:row>
    <x:row r="39">
      <x:c r="A39" s="50"/>
      <x:c r="B39" s="50"/>
      <x:c r="C39" s="50"/>
      <x:c r="D39" s="50"/>
      <x:c r="E39" s="50"/>
      <x:c r="F39" s="50"/>
      <x:c r="G39" s="50"/>
      <x:c r="H39" s="57"/>
      <x:c r="I39" s="50"/>
      <x:c r="J39" s="54" t="str">
        <x:f>IF(A39="","",IF(I39=0,0,ROUNDUP(G39*(1+H39)/I39,0)*I39))</x:f>
      </x:c>
      <x:c r="K39" s="54"/>
      <x:c r="L39" s="54"/>
      <x:c r="M39" s="55" t="str">
        <x:f>IF(A39="","",J39*K39+L39)</x:f>
      </x:c>
      <x:c r="N39" s="50"/>
      <x:c r="O39" s="50"/>
      <x:c r="P39" s="50"/>
      <x:c r="Q39" s="50"/>
      <x:c r="R39" s="50"/>
      <x:c r="S39" s="50"/>
      <x:c r="T39" s="50"/>
      <x:c r="U39" s="50"/>
    </x:row>
    <x:row r="40">
      <x:c r="A40" s="50"/>
      <x:c r="B40" s="50"/>
      <x:c r="C40" s="50"/>
      <x:c r="D40" s="50"/>
      <x:c r="E40" s="50"/>
      <x:c r="F40" s="50"/>
      <x:c r="G40" s="50"/>
      <x:c r="H40" s="57"/>
      <x:c r="I40" s="50"/>
      <x:c r="J40" s="54" t="str">
        <x:f>IF(A40="","",IF(I40=0,0,ROUNDUP(G40*(1+H40)/I40,0)*I40))</x:f>
      </x:c>
      <x:c r="K40" s="54"/>
      <x:c r="L40" s="54"/>
      <x:c r="M40" s="55" t="str">
        <x:f>IF(A40="","",J40*K40+L40)</x:f>
      </x:c>
      <x:c r="N40" s="50"/>
      <x:c r="O40" s="50"/>
      <x:c r="P40" s="50"/>
      <x:c r="Q40" s="50"/>
      <x:c r="R40" s="50"/>
      <x:c r="S40" s="50"/>
      <x:c r="T40" s="50"/>
      <x:c r="U40" s="50"/>
    </x:row>
    <x:row r="41">
      <x:c r="A41" s="50"/>
      <x:c r="B41" s="50"/>
      <x:c r="C41" s="50"/>
      <x:c r="D41" s="50"/>
      <x:c r="E41" s="50"/>
      <x:c r="F41" s="50"/>
      <x:c r="G41" s="50"/>
      <x:c r="H41" s="57"/>
      <x:c r="I41" s="50"/>
      <x:c r="J41" s="54" t="str">
        <x:f>IF(A41="","",IF(I41=0,0,ROUNDUP(G41*(1+H41)/I41,0)*I41))</x:f>
      </x:c>
      <x:c r="K41" s="54"/>
      <x:c r="L41" s="54"/>
      <x:c r="M41" s="55" t="str">
        <x:f>IF(A41="","",J41*K41+L41)</x:f>
      </x:c>
      <x:c r="N41" s="50"/>
      <x:c r="O41" s="50"/>
      <x:c r="P41" s="50"/>
      <x:c r="Q41" s="50"/>
      <x:c r="R41" s="50"/>
      <x:c r="S41" s="50"/>
      <x:c r="T41" s="50"/>
      <x:c r="U41" s="50"/>
    </x:row>
    <x:row r="42">
      <x:c r="A42" s="50"/>
      <x:c r="B42" s="50"/>
      <x:c r="C42" s="50"/>
      <x:c r="D42" s="50"/>
      <x:c r="E42" s="50"/>
      <x:c r="F42" s="50"/>
      <x:c r="G42" s="50"/>
      <x:c r="H42" s="57"/>
      <x:c r="I42" s="50"/>
      <x:c r="J42" s="54" t="str">
        <x:f>IF(A42="","",IF(I42=0,0,ROUNDUP(G42*(1+H42)/I42,0)*I42))</x:f>
      </x:c>
      <x:c r="K42" s="54"/>
      <x:c r="L42" s="54"/>
      <x:c r="M42" s="55" t="str">
        <x:f>IF(A42="","",J42*K42+L42)</x:f>
      </x:c>
      <x:c r="N42" s="50"/>
      <x:c r="O42" s="50"/>
      <x:c r="P42" s="50"/>
      <x:c r="Q42" s="50"/>
      <x:c r="R42" s="50"/>
      <x:c r="S42" s="50"/>
      <x:c r="T42" s="50"/>
      <x:c r="U42" s="50"/>
    </x:row>
    <x:row r="43">
      <x:c r="A43" s="50"/>
      <x:c r="B43" s="50"/>
      <x:c r="C43" s="50"/>
      <x:c r="D43" s="50"/>
      <x:c r="E43" s="50"/>
      <x:c r="F43" s="50"/>
      <x:c r="G43" s="50"/>
      <x:c r="H43" s="57"/>
      <x:c r="I43" s="50"/>
      <x:c r="J43" s="54" t="str">
        <x:f>IF(A43="","",IF(I43=0,0,ROUNDUP(G43*(1+H43)/I43,0)*I43))</x:f>
      </x:c>
      <x:c r="K43" s="54"/>
      <x:c r="L43" s="54"/>
      <x:c r="M43" s="55" t="str">
        <x:f>IF(A43="","",J43*K43+L43)</x:f>
      </x:c>
      <x:c r="N43" s="50"/>
      <x:c r="O43" s="50"/>
      <x:c r="P43" s="50"/>
      <x:c r="Q43" s="50"/>
      <x:c r="R43" s="50"/>
      <x:c r="S43" s="50"/>
      <x:c r="T43" s="50"/>
      <x:c r="U43" s="50"/>
    </x:row>
    <x:row r="44">
      <x:c r="A44" s="50"/>
      <x:c r="B44" s="50"/>
      <x:c r="C44" s="50"/>
      <x:c r="D44" s="50"/>
      <x:c r="E44" s="50"/>
      <x:c r="F44" s="50"/>
      <x:c r="G44" s="50"/>
      <x:c r="H44" s="57"/>
      <x:c r="I44" s="50"/>
      <x:c r="J44" s="54" t="str">
        <x:f>IF(A44="","",IF(I44=0,0,ROUNDUP(G44*(1+H44)/I44,0)*I44))</x:f>
      </x:c>
      <x:c r="K44" s="54"/>
      <x:c r="L44" s="54"/>
      <x:c r="M44" s="55" t="str">
        <x:f>IF(A44="","",J44*K44+L44)</x:f>
      </x:c>
      <x:c r="N44" s="50"/>
      <x:c r="O44" s="50"/>
      <x:c r="P44" s="50"/>
      <x:c r="Q44" s="50"/>
      <x:c r="R44" s="50"/>
      <x:c r="S44" s="50"/>
      <x:c r="T44" s="50"/>
      <x:c r="U44" s="50"/>
    </x:row>
    <x:row r="45">
      <x:c r="A45" s="50"/>
      <x:c r="B45" s="50"/>
      <x:c r="C45" s="50"/>
      <x:c r="D45" s="50"/>
      <x:c r="E45" s="50"/>
      <x:c r="F45" s="50"/>
      <x:c r="G45" s="50"/>
      <x:c r="H45" s="57"/>
      <x:c r="I45" s="50"/>
      <x:c r="J45" s="54" t="str">
        <x:f>IF(A45="","",IF(I45=0,0,ROUNDUP(G45*(1+H45)/I45,0)*I45))</x:f>
      </x:c>
      <x:c r="K45" s="54"/>
      <x:c r="L45" s="54"/>
      <x:c r="M45" s="55" t="str">
        <x:f>IF(A45="","",J45*K45+L45)</x:f>
      </x:c>
      <x:c r="N45" s="50"/>
      <x:c r="O45" s="50"/>
      <x:c r="P45" s="50"/>
      <x:c r="Q45" s="50"/>
      <x:c r="R45" s="50"/>
      <x:c r="S45" s="50"/>
      <x:c r="T45" s="50"/>
      <x:c r="U45" s="50"/>
    </x:row>
    <x:row r="46">
      <x:c r="A46" s="50"/>
      <x:c r="B46" s="50"/>
      <x:c r="C46" s="50"/>
      <x:c r="D46" s="50"/>
      <x:c r="E46" s="50"/>
      <x:c r="F46" s="50"/>
      <x:c r="G46" s="50"/>
      <x:c r="H46" s="57"/>
      <x:c r="I46" s="50"/>
      <x:c r="J46" s="54" t="str">
        <x:f>IF(A46="","",IF(I46=0,0,ROUNDUP(G46*(1+H46)/I46,0)*I46))</x:f>
      </x:c>
      <x:c r="K46" s="54"/>
      <x:c r="L46" s="54"/>
      <x:c r="M46" s="55" t="str">
        <x:f>IF(A46="","",J46*K46+L46)</x:f>
      </x:c>
      <x:c r="N46" s="50"/>
      <x:c r="O46" s="50"/>
      <x:c r="P46" s="50"/>
      <x:c r="Q46" s="50"/>
      <x:c r="R46" s="50"/>
      <x:c r="S46" s="50"/>
      <x:c r="T46" s="50"/>
      <x:c r="U46" s="50"/>
    </x:row>
    <x:row r="47">
      <x:c r="A47" s="50"/>
      <x:c r="B47" s="50"/>
      <x:c r="C47" s="50"/>
      <x:c r="D47" s="50"/>
      <x:c r="E47" s="50"/>
      <x:c r="F47" s="50"/>
      <x:c r="G47" s="50"/>
      <x:c r="H47" s="57"/>
      <x:c r="I47" s="50"/>
      <x:c r="J47" s="54" t="str">
        <x:f>IF(A47="","",IF(I47=0,0,ROUNDUP(G47*(1+H47)/I47,0)*I47))</x:f>
      </x:c>
      <x:c r="K47" s="54"/>
      <x:c r="L47" s="54"/>
      <x:c r="M47" s="55" t="str">
        <x:f>IF(A47="","",J47*K47+L47)</x:f>
      </x:c>
      <x:c r="N47" s="50"/>
      <x:c r="O47" s="50"/>
      <x:c r="P47" s="50"/>
      <x:c r="Q47" s="50"/>
      <x:c r="R47" s="50"/>
      <x:c r="S47" s="50"/>
      <x:c r="T47" s="50"/>
      <x:c r="U47" s="50"/>
    </x:row>
    <x:row r="48">
      <x:c r="A48" s="50"/>
      <x:c r="B48" s="50"/>
      <x:c r="C48" s="50"/>
      <x:c r="D48" s="50"/>
      <x:c r="E48" s="50"/>
      <x:c r="F48" s="50"/>
      <x:c r="G48" s="50"/>
      <x:c r="H48" s="57"/>
      <x:c r="I48" s="50"/>
      <x:c r="J48" s="54" t="str">
        <x:f>IF(A48="","",IF(I48=0,0,ROUNDUP(G48*(1+H48)/I48,0)*I48))</x:f>
      </x:c>
      <x:c r="K48" s="54"/>
      <x:c r="L48" s="54"/>
      <x:c r="M48" s="55" t="str">
        <x:f>IF(A48="","",J48*K48+L48)</x:f>
      </x:c>
      <x:c r="N48" s="50"/>
      <x:c r="O48" s="50"/>
      <x:c r="P48" s="50"/>
      <x:c r="Q48" s="50"/>
      <x:c r="R48" s="50"/>
      <x:c r="S48" s="50"/>
      <x:c r="T48" s="50"/>
      <x:c r="U48" s="50"/>
    </x:row>
    <x:row r="49">
      <x:c r="A49" s="50"/>
      <x:c r="B49" s="50"/>
      <x:c r="C49" s="50"/>
      <x:c r="D49" s="50"/>
      <x:c r="E49" s="50"/>
      <x:c r="F49" s="50"/>
      <x:c r="G49" s="50"/>
      <x:c r="H49" s="57"/>
      <x:c r="I49" s="50"/>
      <x:c r="J49" s="54" t="str">
        <x:f>IF(A49="","",IF(I49=0,0,ROUNDUP(G49*(1+H49)/I49,0)*I49))</x:f>
      </x:c>
      <x:c r="K49" s="54"/>
      <x:c r="L49" s="54"/>
      <x:c r="M49" s="55" t="str">
        <x:f>IF(A49="","",J49*K49+L49)</x:f>
      </x:c>
      <x:c r="N49" s="50"/>
      <x:c r="O49" s="50"/>
      <x:c r="P49" s="50"/>
      <x:c r="Q49" s="50"/>
      <x:c r="R49" s="50"/>
      <x:c r="S49" s="50"/>
      <x:c r="T49" s="50"/>
      <x:c r="U49" s="50"/>
    </x:row>
    <x:row r="50">
      <x:c r="A50" s="50"/>
      <x:c r="B50" s="50"/>
      <x:c r="C50" s="50"/>
      <x:c r="D50" s="50"/>
      <x:c r="E50" s="50"/>
      <x:c r="F50" s="50"/>
      <x:c r="G50" s="50"/>
      <x:c r="H50" s="57"/>
      <x:c r="I50" s="50"/>
      <x:c r="J50" s="54" t="str">
        <x:f>IF(A50="","",IF(I50=0,0,ROUNDUP(G50*(1+H50)/I50,0)*I50))</x:f>
      </x:c>
      <x:c r="K50" s="54"/>
      <x:c r="L50" s="54"/>
      <x:c r="M50" s="55" t="str">
        <x:f>IF(A50="","",J50*K50+L50)</x:f>
      </x:c>
      <x:c r="N50" s="50"/>
      <x:c r="O50" s="50"/>
      <x:c r="P50" s="50"/>
      <x:c r="Q50" s="50"/>
      <x:c r="R50" s="50"/>
      <x:c r="S50" s="50"/>
      <x:c r="T50" s="50"/>
      <x:c r="U50" s="50"/>
    </x:row>
    <x:row r="51">
      <x:c r="A51" s="50"/>
      <x:c r="B51" s="50"/>
      <x:c r="C51" s="50"/>
      <x:c r="D51" s="50"/>
      <x:c r="E51" s="50"/>
      <x:c r="F51" s="50"/>
      <x:c r="G51" s="50"/>
      <x:c r="H51" s="57"/>
      <x:c r="I51" s="50"/>
      <x:c r="J51" s="54" t="str">
        <x:f>IF(A51="","",IF(I51=0,0,ROUNDUP(G51*(1+H51)/I51,0)*I51))</x:f>
      </x:c>
      <x:c r="K51" s="54"/>
      <x:c r="L51" s="54"/>
      <x:c r="M51" s="55" t="str">
        <x:f>IF(A51="","",J51*K51+L51)</x:f>
      </x:c>
      <x:c r="N51" s="50"/>
      <x:c r="O51" s="50"/>
      <x:c r="P51" s="50"/>
      <x:c r="Q51" s="50"/>
      <x:c r="R51" s="50"/>
      <x:c r="S51" s="50"/>
      <x:c r="T51" s="50"/>
      <x:c r="U51" s="50"/>
    </x:row>
    <x:row r="52">
      <x:c r="A52" s="50"/>
      <x:c r="B52" s="50"/>
      <x:c r="C52" s="50"/>
      <x:c r="D52" s="50"/>
      <x:c r="E52" s="50"/>
      <x:c r="F52" s="50"/>
      <x:c r="G52" s="50"/>
      <x:c r="H52" s="57"/>
      <x:c r="I52" s="50"/>
      <x:c r="J52" s="54" t="str">
        <x:f>IF(A52="","",IF(I52=0,0,ROUNDUP(G52*(1+H52)/I52,0)*I52))</x:f>
      </x:c>
      <x:c r="K52" s="54"/>
      <x:c r="L52" s="54"/>
      <x:c r="M52" s="55" t="str">
        <x:f>IF(A52="","",J52*K52+L52)</x:f>
      </x:c>
      <x:c r="N52" s="50"/>
      <x:c r="O52" s="50"/>
      <x:c r="P52" s="50"/>
      <x:c r="Q52" s="50"/>
      <x:c r="R52" s="50"/>
      <x:c r="S52" s="50"/>
      <x:c r="T52" s="50"/>
      <x:c r="U52" s="50"/>
    </x:row>
    <x:row r="53">
      <x:c r="A53" s="50"/>
      <x:c r="B53" s="50"/>
      <x:c r="C53" s="50"/>
      <x:c r="D53" s="50"/>
      <x:c r="E53" s="50"/>
      <x:c r="F53" s="50"/>
      <x:c r="G53" s="50"/>
      <x:c r="H53" s="57"/>
      <x:c r="I53" s="50"/>
      <x:c r="J53" s="54" t="str">
        <x:f>IF(A53="","",IF(I53=0,0,ROUNDUP(G53*(1+H53)/I53,0)*I53))</x:f>
      </x:c>
      <x:c r="K53" s="54"/>
      <x:c r="L53" s="54"/>
      <x:c r="M53" s="55" t="str">
        <x:f>IF(A53="","",J53*K53+L53)</x:f>
      </x:c>
      <x:c r="N53" s="50"/>
      <x:c r="O53" s="50"/>
      <x:c r="P53" s="50"/>
      <x:c r="Q53" s="50"/>
      <x:c r="R53" s="50"/>
      <x:c r="S53" s="50"/>
      <x:c r="T53" s="50"/>
      <x:c r="U53" s="50"/>
    </x:row>
    <x:row r="54">
      <x:c r="A54" s="50"/>
      <x:c r="B54" s="50"/>
      <x:c r="C54" s="50"/>
      <x:c r="D54" s="50"/>
      <x:c r="E54" s="50"/>
      <x:c r="F54" s="50"/>
      <x:c r="G54" s="50"/>
      <x:c r="H54" s="57"/>
      <x:c r="I54" s="50"/>
      <x:c r="J54" s="54" t="str">
        <x:f>IF(A54="","",IF(I54=0,0,ROUNDUP(G54*(1+H54)/I54,0)*I54))</x:f>
      </x:c>
      <x:c r="K54" s="54"/>
      <x:c r="L54" s="54"/>
      <x:c r="M54" s="55" t="str">
        <x:f>IF(A54="","",J54*K54+L54)</x:f>
      </x:c>
      <x:c r="N54" s="50"/>
      <x:c r="O54" s="50"/>
      <x:c r="P54" s="50"/>
      <x:c r="Q54" s="50"/>
      <x:c r="R54" s="50"/>
      <x:c r="S54" s="50"/>
      <x:c r="T54" s="50"/>
      <x:c r="U54" s="50"/>
    </x:row>
    <x:row r="55">
      <x:c r="A55" s="50"/>
      <x:c r="B55" s="50"/>
      <x:c r="C55" s="50"/>
      <x:c r="D55" s="50"/>
      <x:c r="E55" s="50"/>
      <x:c r="F55" s="50"/>
      <x:c r="G55" s="50"/>
      <x:c r="H55" s="57"/>
      <x:c r="I55" s="50"/>
      <x:c r="J55" s="54" t="str">
        <x:f>IF(A55="","",IF(I55=0,0,ROUNDUP(G55*(1+H55)/I55,0)*I55))</x:f>
      </x:c>
      <x:c r="K55" s="54"/>
      <x:c r="L55" s="54"/>
      <x:c r="M55" s="55" t="str">
        <x:f>IF(A55="","",J55*K55+L55)</x:f>
      </x:c>
      <x:c r="N55" s="50"/>
      <x:c r="O55" s="50"/>
      <x:c r="P55" s="50"/>
      <x:c r="Q55" s="50"/>
      <x:c r="R55" s="50"/>
      <x:c r="S55" s="50"/>
      <x:c r="T55" s="50"/>
      <x:c r="U55" s="50"/>
    </x:row>
    <x:row r="56">
      <x:c r="A56" s="50"/>
      <x:c r="B56" s="50"/>
      <x:c r="C56" s="50"/>
      <x:c r="D56" s="50"/>
      <x:c r="E56" s="50"/>
      <x:c r="F56" s="50"/>
      <x:c r="G56" s="50"/>
      <x:c r="H56" s="57"/>
      <x:c r="I56" s="50"/>
      <x:c r="J56" s="54" t="str">
        <x:f>IF(A56="","",IF(I56=0,0,ROUNDUP(G56*(1+H56)/I56,0)*I56))</x:f>
      </x:c>
      <x:c r="K56" s="54"/>
      <x:c r="L56" s="54"/>
      <x:c r="M56" s="55" t="str">
        <x:f>IF(A56="","",J56*K56+L56)</x:f>
      </x:c>
      <x:c r="N56" s="50"/>
      <x:c r="O56" s="50"/>
      <x:c r="P56" s="50"/>
      <x:c r="Q56" s="50"/>
      <x:c r="R56" s="50"/>
      <x:c r="S56" s="50"/>
      <x:c r="T56" s="50"/>
      <x:c r="U56" s="50"/>
    </x:row>
    <x:row r="57">
      <x:c r="A57" s="50"/>
      <x:c r="B57" s="50"/>
      <x:c r="C57" s="50"/>
      <x:c r="D57" s="50"/>
      <x:c r="E57" s="50"/>
      <x:c r="F57" s="50"/>
      <x:c r="G57" s="50"/>
      <x:c r="H57" s="57"/>
      <x:c r="I57" s="50"/>
      <x:c r="J57" s="54" t="str">
        <x:f>IF(A57="","",IF(I57=0,0,ROUNDUP(G57*(1+H57)/I57,0)*I57))</x:f>
      </x:c>
      <x:c r="K57" s="54"/>
      <x:c r="L57" s="54"/>
      <x:c r="M57" s="55" t="str">
        <x:f>IF(A57="","",J57*K57+L57)</x:f>
      </x:c>
      <x:c r="N57" s="50"/>
      <x:c r="O57" s="50"/>
      <x:c r="P57" s="50"/>
      <x:c r="Q57" s="50"/>
      <x:c r="R57" s="50"/>
      <x:c r="S57" s="50"/>
      <x:c r="T57" s="50"/>
      <x:c r="U57" s="50"/>
    </x:row>
    <x:row r="58">
      <x:c r="A58" s="50"/>
      <x:c r="B58" s="50"/>
      <x:c r="C58" s="50"/>
      <x:c r="D58" s="50"/>
      <x:c r="E58" s="50"/>
      <x:c r="F58" s="50"/>
      <x:c r="G58" s="50"/>
      <x:c r="H58" s="57"/>
      <x:c r="I58" s="50"/>
      <x:c r="J58" s="54" t="str">
        <x:f>IF(A58="","",IF(I58=0,0,ROUNDUP(G58*(1+H58)/I58,0)*I58))</x:f>
      </x:c>
      <x:c r="K58" s="54"/>
      <x:c r="L58" s="54"/>
      <x:c r="M58" s="55" t="str">
        <x:f>IF(A58="","",J58*K58+L58)</x:f>
      </x:c>
      <x:c r="N58" s="50"/>
      <x:c r="O58" s="50"/>
      <x:c r="P58" s="50"/>
      <x:c r="Q58" s="50"/>
      <x:c r="R58" s="50"/>
      <x:c r="S58" s="50"/>
      <x:c r="T58" s="50"/>
      <x:c r="U58" s="50"/>
    </x:row>
    <x:row r="59">
      <x:c r="A59" s="50"/>
      <x:c r="B59" s="50"/>
      <x:c r="C59" s="50"/>
      <x:c r="D59" s="50"/>
      <x:c r="E59" s="50"/>
      <x:c r="F59" s="50"/>
      <x:c r="G59" s="50"/>
      <x:c r="H59" s="57"/>
      <x:c r="I59" s="50"/>
      <x:c r="J59" s="54" t="str">
        <x:f>IF(A59="","",IF(I59=0,0,ROUNDUP(G59*(1+H59)/I59,0)*I59))</x:f>
      </x:c>
      <x:c r="K59" s="54"/>
      <x:c r="L59" s="54"/>
      <x:c r="M59" s="55" t="str">
        <x:f>IF(A59="","",J59*K59+L59)</x:f>
      </x:c>
      <x:c r="N59" s="50"/>
      <x:c r="O59" s="50"/>
      <x:c r="P59" s="50"/>
      <x:c r="Q59" s="50"/>
      <x:c r="R59" s="50"/>
      <x:c r="S59" s="50"/>
      <x:c r="T59" s="50"/>
      <x:c r="U59" s="50"/>
    </x:row>
    <x:row r="60">
      <x:c r="A60" s="50"/>
      <x:c r="B60" s="50"/>
      <x:c r="C60" s="50"/>
      <x:c r="D60" s="50"/>
      <x:c r="E60" s="50"/>
      <x:c r="F60" s="50"/>
      <x:c r="G60" s="50"/>
      <x:c r="H60" s="57"/>
      <x:c r="I60" s="50"/>
      <x:c r="J60" s="54" t="str">
        <x:f>IF(A60="","",IF(I60=0,0,ROUNDUP(G60*(1+H60)/I60,0)*I60))</x:f>
      </x:c>
      <x:c r="K60" s="54"/>
      <x:c r="L60" s="54"/>
      <x:c r="M60" s="55" t="str">
        <x:f>IF(A60="","",J60*K60+L60)</x:f>
      </x:c>
      <x:c r="N60" s="50"/>
      <x:c r="O60" s="50"/>
      <x:c r="P60" s="50"/>
      <x:c r="Q60" s="50"/>
      <x:c r="R60" s="50"/>
      <x:c r="S60" s="50"/>
      <x:c r="T60" s="50"/>
      <x:c r="U60" s="50"/>
    </x:row>
    <x:row r="61">
      <x:c r="A61" s="50"/>
      <x:c r="B61" s="50"/>
      <x:c r="C61" s="50"/>
      <x:c r="D61" s="50"/>
      <x:c r="E61" s="50"/>
      <x:c r="F61" s="50"/>
      <x:c r="G61" s="50"/>
      <x:c r="H61" s="57"/>
      <x:c r="I61" s="50"/>
      <x:c r="J61" s="54" t="str">
        <x:f>IF(A61="","",IF(I61=0,0,ROUNDUP(G61*(1+H61)/I61,0)*I61))</x:f>
      </x:c>
      <x:c r="K61" s="54"/>
      <x:c r="L61" s="54"/>
      <x:c r="M61" s="55" t="str">
        <x:f>IF(A61="","",J61*K61+L61)</x:f>
      </x:c>
      <x:c r="N61" s="50"/>
      <x:c r="O61" s="50"/>
      <x:c r="P61" s="50"/>
      <x:c r="Q61" s="50"/>
      <x:c r="R61" s="50"/>
      <x:c r="S61" s="50"/>
      <x:c r="T61" s="50"/>
      <x:c r="U61" s="50"/>
    </x:row>
    <x:row r="62">
      <x:c r="A62" s="50"/>
      <x:c r="B62" s="50"/>
      <x:c r="C62" s="50"/>
      <x:c r="D62" s="50"/>
      <x:c r="E62" s="50"/>
      <x:c r="F62" s="50"/>
      <x:c r="G62" s="50"/>
      <x:c r="H62" s="57"/>
      <x:c r="I62" s="50"/>
      <x:c r="J62" s="54" t="str">
        <x:f>IF(A62="","",IF(I62=0,0,ROUNDUP(G62*(1+H62)/I62,0)*I62))</x:f>
      </x:c>
      <x:c r="K62" s="54"/>
      <x:c r="L62" s="54"/>
      <x:c r="M62" s="55" t="str">
        <x:f>IF(A62="","",J62*K62+L62)</x:f>
      </x:c>
      <x:c r="N62" s="50"/>
      <x:c r="O62" s="50"/>
      <x:c r="P62" s="50"/>
      <x:c r="Q62" s="50"/>
      <x:c r="R62" s="50"/>
      <x:c r="S62" s="50"/>
      <x:c r="T62" s="50"/>
      <x:c r="U62" s="50"/>
    </x:row>
    <x:row r="63">
      <x:c r="A63" s="50"/>
      <x:c r="B63" s="50"/>
      <x:c r="C63" s="50"/>
      <x:c r="D63" s="50"/>
      <x:c r="E63" s="50"/>
      <x:c r="F63" s="50"/>
      <x:c r="G63" s="50"/>
      <x:c r="H63" s="57"/>
      <x:c r="I63" s="50"/>
      <x:c r="J63" s="54" t="str">
        <x:f>IF(A63="","",IF(I63=0,0,ROUNDUP(G63*(1+H63)/I63,0)*I63))</x:f>
      </x:c>
      <x:c r="K63" s="54"/>
      <x:c r="L63" s="54"/>
      <x:c r="M63" s="55" t="str">
        <x:f>IF(A63="","",J63*K63+L63)</x:f>
      </x:c>
      <x:c r="N63" s="50"/>
      <x:c r="O63" s="50"/>
      <x:c r="P63" s="50"/>
      <x:c r="Q63" s="50"/>
      <x:c r="R63" s="50"/>
      <x:c r="S63" s="50"/>
      <x:c r="T63" s="50"/>
      <x:c r="U63" s="50"/>
    </x:row>
    <x:row r="64">
      <x:c r="A64" s="50"/>
      <x:c r="B64" s="50"/>
      <x:c r="C64" s="50"/>
      <x:c r="D64" s="50"/>
      <x:c r="E64" s="50"/>
      <x:c r="F64" s="50"/>
      <x:c r="G64" s="50"/>
      <x:c r="H64" s="57"/>
      <x:c r="I64" s="50"/>
      <x:c r="J64" s="54" t="str">
        <x:f>IF(A64="","",IF(I64=0,0,ROUNDUP(G64*(1+H64)/I64,0)*I64))</x:f>
      </x:c>
      <x:c r="K64" s="54"/>
      <x:c r="L64" s="54"/>
      <x:c r="M64" s="55" t="str">
        <x:f>IF(A64="","",J64*K64+L64)</x:f>
      </x:c>
      <x:c r="N64" s="50"/>
      <x:c r="O64" s="50"/>
      <x:c r="P64" s="50"/>
      <x:c r="Q64" s="50"/>
      <x:c r="R64" s="50"/>
      <x:c r="S64" s="50"/>
      <x:c r="T64" s="50"/>
      <x:c r="U64" s="50"/>
    </x:row>
    <x:row r="65">
      <x:c r="A65" s="50"/>
      <x:c r="B65" s="50"/>
      <x:c r="C65" s="50"/>
      <x:c r="D65" s="50"/>
      <x:c r="E65" s="50"/>
      <x:c r="F65" s="50"/>
      <x:c r="G65" s="50"/>
      <x:c r="H65" s="57"/>
      <x:c r="I65" s="50"/>
      <x:c r="J65" s="54" t="str">
        <x:f>IF(A65="","",IF(I65=0,0,ROUNDUP(G65*(1+H65)/I65,0)*I65))</x:f>
      </x:c>
      <x:c r="K65" s="54"/>
      <x:c r="L65" s="54"/>
      <x:c r="M65" s="55" t="str">
        <x:f>IF(A65="","",J65*K65+L65)</x:f>
      </x:c>
      <x:c r="N65" s="50"/>
      <x:c r="O65" s="50"/>
      <x:c r="P65" s="50"/>
      <x:c r="Q65" s="50"/>
      <x:c r="R65" s="50"/>
      <x:c r="S65" s="50"/>
      <x:c r="T65" s="50"/>
      <x:c r="U65" s="50"/>
    </x:row>
    <x:row r="66">
      <x:c r="A66" s="50"/>
      <x:c r="B66" s="50"/>
      <x:c r="C66" s="50"/>
      <x:c r="D66" s="50"/>
      <x:c r="E66" s="50"/>
      <x:c r="F66" s="50"/>
      <x:c r="G66" s="50"/>
      <x:c r="H66" s="57"/>
      <x:c r="I66" s="50"/>
      <x:c r="J66" s="54" t="str">
        <x:f>IF(A66="","",IF(I66=0,0,ROUNDUP(G66*(1+H66)/I66,0)*I66))</x:f>
      </x:c>
      <x:c r="K66" s="54"/>
      <x:c r="L66" s="54"/>
      <x:c r="M66" s="55" t="str">
        <x:f>IF(A66="","",J66*K66+L66)</x:f>
      </x:c>
      <x:c r="N66" s="50"/>
      <x:c r="O66" s="50"/>
      <x:c r="P66" s="50"/>
      <x:c r="Q66" s="50"/>
      <x:c r="R66" s="50"/>
      <x:c r="S66" s="50"/>
      <x:c r="T66" s="50"/>
      <x:c r="U66" s="50"/>
    </x:row>
    <x:row r="67">
      <x:c r="A67" s="50"/>
      <x:c r="B67" s="50"/>
      <x:c r="C67" s="50"/>
      <x:c r="D67" s="50"/>
      <x:c r="E67" s="50"/>
      <x:c r="F67" s="50"/>
      <x:c r="G67" s="50"/>
      <x:c r="H67" s="57"/>
      <x:c r="I67" s="50"/>
      <x:c r="J67" s="54" t="str">
        <x:f>IF(A67="","",IF(I67=0,0,ROUNDUP(G67*(1+H67)/I67,0)*I67))</x:f>
      </x:c>
      <x:c r="K67" s="54"/>
      <x:c r="L67" s="54"/>
      <x:c r="M67" s="55" t="str">
        <x:f>IF(A67="","",J67*K67+L67)</x:f>
      </x:c>
      <x:c r="N67" s="50"/>
      <x:c r="O67" s="50"/>
      <x:c r="P67" s="50"/>
      <x:c r="Q67" s="50"/>
      <x:c r="R67" s="50"/>
      <x:c r="S67" s="50"/>
      <x:c r="T67" s="50"/>
      <x:c r="U67" s="50"/>
    </x:row>
    <x:row r="68">
      <x:c r="A68" s="50"/>
      <x:c r="B68" s="50"/>
      <x:c r="C68" s="50"/>
      <x:c r="D68" s="50"/>
      <x:c r="E68" s="50"/>
      <x:c r="F68" s="50"/>
      <x:c r="G68" s="50"/>
      <x:c r="H68" s="57"/>
      <x:c r="I68" s="50"/>
      <x:c r="J68" s="54" t="str">
        <x:f>IF(A68="","",IF(I68=0,0,ROUNDUP(G68*(1+H68)/I68,0)*I68))</x:f>
      </x:c>
      <x:c r="K68" s="54"/>
      <x:c r="L68" s="54"/>
      <x:c r="M68" s="55" t="str">
        <x:f>IF(A68="","",J68*K68+L68)</x:f>
      </x:c>
      <x:c r="N68" s="50"/>
      <x:c r="O68" s="50"/>
      <x:c r="P68" s="50"/>
      <x:c r="Q68" s="50"/>
      <x:c r="R68" s="50"/>
      <x:c r="S68" s="50"/>
      <x:c r="T68" s="50"/>
      <x:c r="U68" s="50"/>
    </x:row>
    <x:row r="69">
      <x:c r="A69" s="50"/>
      <x:c r="B69" s="50"/>
      <x:c r="C69" s="50"/>
      <x:c r="D69" s="50"/>
      <x:c r="E69" s="50"/>
      <x:c r="F69" s="50"/>
      <x:c r="G69" s="50"/>
      <x:c r="H69" s="57"/>
      <x:c r="I69" s="50"/>
      <x:c r="J69" s="54" t="str">
        <x:f>IF(A69="","",IF(I69=0,0,ROUNDUP(G69*(1+H69)/I69,0)*I69))</x:f>
      </x:c>
      <x:c r="K69" s="54"/>
      <x:c r="L69" s="54"/>
      <x:c r="M69" s="55" t="str">
        <x:f>IF(A69="","",J69*K69+L69)</x:f>
      </x:c>
      <x:c r="N69" s="50"/>
      <x:c r="O69" s="50"/>
      <x:c r="P69" s="50"/>
      <x:c r="Q69" s="50"/>
      <x:c r="R69" s="50"/>
      <x:c r="S69" s="50"/>
      <x:c r="T69" s="50"/>
      <x:c r="U69" s="50"/>
    </x:row>
    <x:row r="70">
      <x:c r="A70" s="50"/>
      <x:c r="B70" s="50"/>
      <x:c r="C70" s="50"/>
      <x:c r="D70" s="50"/>
      <x:c r="E70" s="50"/>
      <x:c r="F70" s="50"/>
      <x:c r="G70" s="50"/>
      <x:c r="H70" s="57"/>
      <x:c r="I70" s="50"/>
      <x:c r="J70" s="54" t="str">
        <x:f>IF(A70="","",IF(I70=0,0,ROUNDUP(G70*(1+H70)/I70,0)*I70))</x:f>
      </x:c>
      <x:c r="K70" s="54"/>
      <x:c r="L70" s="54"/>
      <x:c r="M70" s="55" t="str">
        <x:f>IF(A70="","",J70*K70+L70)</x:f>
      </x:c>
      <x:c r="N70" s="50"/>
      <x:c r="O70" s="50"/>
      <x:c r="P70" s="50"/>
      <x:c r="Q70" s="50"/>
      <x:c r="R70" s="50"/>
      <x:c r="S70" s="50"/>
      <x:c r="T70" s="50"/>
      <x:c r="U70" s="50"/>
    </x:row>
    <x:row r="71">
      <x:c r="A71" s="50"/>
      <x:c r="B71" s="50"/>
      <x:c r="C71" s="50"/>
      <x:c r="D71" s="50"/>
      <x:c r="E71" s="50"/>
      <x:c r="F71" s="50"/>
      <x:c r="G71" s="50"/>
      <x:c r="H71" s="57"/>
      <x:c r="I71" s="50"/>
      <x:c r="J71" s="54" t="str">
        <x:f>IF(A71="","",IF(I71=0,0,ROUNDUP(G71*(1+H71)/I71,0)*I71))</x:f>
      </x:c>
      <x:c r="K71" s="54"/>
      <x:c r="L71" s="54"/>
      <x:c r="M71" s="55" t="str">
        <x:f>IF(A71="","",J71*K71+L71)</x:f>
      </x:c>
      <x:c r="N71" s="50"/>
      <x:c r="O71" s="50"/>
      <x:c r="P71" s="50"/>
      <x:c r="Q71" s="50"/>
      <x:c r="R71" s="50"/>
      <x:c r="S71" s="50"/>
      <x:c r="T71" s="50"/>
      <x:c r="U71" s="50"/>
    </x:row>
    <x:row r="72">
      <x:c r="A72" s="50"/>
      <x:c r="B72" s="50"/>
      <x:c r="C72" s="50"/>
      <x:c r="D72" s="50"/>
      <x:c r="E72" s="50"/>
      <x:c r="F72" s="50"/>
      <x:c r="G72" s="50"/>
      <x:c r="H72" s="57"/>
      <x:c r="I72" s="50"/>
      <x:c r="J72" s="54" t="str">
        <x:f>IF(A72="","",IF(I72=0,0,ROUNDUP(G72*(1+H72)/I72,0)*I72))</x:f>
      </x:c>
      <x:c r="K72" s="54"/>
      <x:c r="L72" s="54"/>
      <x:c r="M72" s="55" t="str">
        <x:f>IF(A72="","",J72*K72+L72)</x:f>
      </x:c>
      <x:c r="N72" s="50"/>
      <x:c r="O72" s="50"/>
      <x:c r="P72" s="50"/>
      <x:c r="Q72" s="50"/>
      <x:c r="R72" s="50"/>
      <x:c r="S72" s="50"/>
      <x:c r="T72" s="50"/>
      <x:c r="U72" s="50"/>
    </x:row>
    <x:row r="73">
      <x:c r="A73" s="50"/>
      <x:c r="B73" s="50"/>
      <x:c r="C73" s="50"/>
      <x:c r="D73" s="50"/>
      <x:c r="E73" s="50"/>
      <x:c r="F73" s="50"/>
      <x:c r="G73" s="50"/>
      <x:c r="H73" s="57"/>
      <x:c r="I73" s="50"/>
      <x:c r="J73" s="54" t="str">
        <x:f>IF(A73="","",IF(I73=0,0,ROUNDUP(G73*(1+H73)/I73,0)*I73))</x:f>
      </x:c>
      <x:c r="K73" s="54"/>
      <x:c r="L73" s="54"/>
      <x:c r="M73" s="55" t="str">
        <x:f>IF(A73="","",J73*K73+L73)</x:f>
      </x:c>
      <x:c r="N73" s="50"/>
      <x:c r="O73" s="50"/>
      <x:c r="P73" s="50"/>
      <x:c r="Q73" s="50"/>
      <x:c r="R73" s="50"/>
      <x:c r="S73" s="50"/>
      <x:c r="T73" s="50"/>
      <x:c r="U73" s="50"/>
    </x:row>
    <x:row r="74">
      <x:c r="A74" s="50"/>
      <x:c r="B74" s="50"/>
      <x:c r="C74" s="50"/>
      <x:c r="D74" s="50"/>
      <x:c r="E74" s="50"/>
      <x:c r="F74" s="50"/>
      <x:c r="G74" s="50"/>
      <x:c r="H74" s="57"/>
      <x:c r="I74" s="50"/>
      <x:c r="J74" s="54" t="str">
        <x:f>IF(A74="","",IF(I74=0,0,ROUNDUP(G74*(1+H74)/I74,0)*I74))</x:f>
      </x:c>
      <x:c r="K74" s="54"/>
      <x:c r="L74" s="54"/>
      <x:c r="M74" s="55" t="str">
        <x:f>IF(A74="","",J74*K74+L74)</x:f>
      </x:c>
      <x:c r="N74" s="50"/>
      <x:c r="O74" s="50"/>
      <x:c r="P74" s="50"/>
      <x:c r="Q74" s="50"/>
      <x:c r="R74" s="50"/>
      <x:c r="S74" s="50"/>
      <x:c r="T74" s="50"/>
      <x:c r="U74" s="50"/>
    </x:row>
    <x:row r="75">
      <x:c r="A75" s="50"/>
      <x:c r="B75" s="50"/>
      <x:c r="C75" s="50"/>
      <x:c r="D75" s="50"/>
      <x:c r="E75" s="50"/>
      <x:c r="F75" s="50"/>
      <x:c r="G75" s="50"/>
      <x:c r="H75" s="57"/>
      <x:c r="I75" s="50"/>
      <x:c r="J75" s="54" t="str">
        <x:f>IF(A75="","",IF(I75=0,0,ROUNDUP(G75*(1+H75)/I75,0)*I75))</x:f>
      </x:c>
      <x:c r="K75" s="54"/>
      <x:c r="L75" s="54"/>
      <x:c r="M75" s="55" t="str">
        <x:f>IF(A75="","",J75*K75+L75)</x:f>
      </x:c>
      <x:c r="N75" s="50"/>
      <x:c r="O75" s="50"/>
      <x:c r="P75" s="50"/>
      <x:c r="Q75" s="50"/>
      <x:c r="R75" s="50"/>
      <x:c r="S75" s="50"/>
      <x:c r="T75" s="50"/>
      <x:c r="U75" s="50"/>
    </x:row>
    <x:row r="76">
      <x:c r="A76" s="50"/>
      <x:c r="B76" s="50"/>
      <x:c r="C76" s="50"/>
      <x:c r="D76" s="50"/>
      <x:c r="E76" s="50"/>
      <x:c r="F76" s="50"/>
      <x:c r="G76" s="50"/>
      <x:c r="H76" s="57"/>
      <x:c r="I76" s="50"/>
      <x:c r="J76" s="54" t="str">
        <x:f>IF(A76="","",IF(I76=0,0,ROUNDUP(G76*(1+H76)/I76,0)*I76))</x:f>
      </x:c>
      <x:c r="K76" s="54"/>
      <x:c r="L76" s="54"/>
      <x:c r="M76" s="55" t="str">
        <x:f>IF(A76="","",J76*K76+L76)</x:f>
      </x:c>
      <x:c r="N76" s="50"/>
      <x:c r="O76" s="50"/>
      <x:c r="P76" s="50"/>
      <x:c r="Q76" s="50"/>
      <x:c r="R76" s="50"/>
      <x:c r="S76" s="50"/>
      <x:c r="T76" s="50"/>
      <x:c r="U76" s="50"/>
    </x:row>
    <x:row r="77">
      <x:c r="A77" s="50"/>
      <x:c r="B77" s="50"/>
      <x:c r="C77" s="50"/>
      <x:c r="D77" s="50"/>
      <x:c r="E77" s="50"/>
      <x:c r="F77" s="50"/>
      <x:c r="G77" s="50"/>
      <x:c r="H77" s="57"/>
      <x:c r="I77" s="50"/>
      <x:c r="J77" s="54" t="str">
        <x:f>IF(A77="","",IF(I77=0,0,ROUNDUP(G77*(1+H77)/I77,0)*I77))</x:f>
      </x:c>
      <x:c r="K77" s="54"/>
      <x:c r="L77" s="54"/>
      <x:c r="M77" s="55" t="str">
        <x:f>IF(A77="","",J77*K77+L77)</x:f>
      </x:c>
      <x:c r="N77" s="50"/>
      <x:c r="O77" s="50"/>
      <x:c r="P77" s="50"/>
      <x:c r="Q77" s="50"/>
      <x:c r="R77" s="50"/>
      <x:c r="S77" s="50"/>
      <x:c r="T77" s="50"/>
      <x:c r="U77" s="50"/>
    </x:row>
    <x:row r="78">
      <x:c r="A78" s="50"/>
      <x:c r="B78" s="50"/>
      <x:c r="C78" s="50"/>
      <x:c r="D78" s="50"/>
      <x:c r="E78" s="50"/>
      <x:c r="F78" s="50"/>
      <x:c r="G78" s="50"/>
      <x:c r="H78" s="57"/>
      <x:c r="I78" s="50"/>
      <x:c r="J78" s="54" t="str">
        <x:f>IF(A78="","",IF(I78=0,0,ROUNDUP(G78*(1+H78)/I78,0)*I78))</x:f>
      </x:c>
      <x:c r="K78" s="54"/>
      <x:c r="L78" s="54"/>
      <x:c r="M78" s="55" t="str">
        <x:f>IF(A78="","",J78*K78+L78)</x:f>
      </x:c>
      <x:c r="N78" s="50"/>
      <x:c r="O78" s="50"/>
      <x:c r="P78" s="50"/>
      <x:c r="Q78" s="50"/>
      <x:c r="R78" s="50"/>
      <x:c r="S78" s="50"/>
      <x:c r="T78" s="50"/>
      <x:c r="U78" s="50"/>
    </x:row>
    <x:row r="79">
      <x:c r="A79" s="50"/>
      <x:c r="B79" s="50"/>
      <x:c r="C79" s="50"/>
      <x:c r="D79" s="50"/>
      <x:c r="E79" s="50"/>
      <x:c r="F79" s="50"/>
      <x:c r="G79" s="50"/>
      <x:c r="H79" s="57"/>
      <x:c r="I79" s="50"/>
      <x:c r="J79" s="54" t="str">
        <x:f>IF(A79="","",IF(I79=0,0,ROUNDUP(G79*(1+H79)/I79,0)*I79))</x:f>
      </x:c>
      <x:c r="K79" s="54"/>
      <x:c r="L79" s="54"/>
      <x:c r="M79" s="55" t="str">
        <x:f>IF(A79="","",J79*K79+L79)</x:f>
      </x:c>
      <x:c r="N79" s="50"/>
      <x:c r="O79" s="50"/>
      <x:c r="P79" s="50"/>
      <x:c r="Q79" s="50"/>
      <x:c r="R79" s="50"/>
      <x:c r="S79" s="50"/>
      <x:c r="T79" s="50"/>
      <x:c r="U79" s="50"/>
    </x:row>
    <x:row r="80">
      <x:c r="A80" s="50"/>
      <x:c r="B80" s="50"/>
      <x:c r="C80" s="50"/>
      <x:c r="D80" s="50"/>
      <x:c r="E80" s="50"/>
      <x:c r="F80" s="50"/>
      <x:c r="G80" s="50"/>
      <x:c r="H80" s="57"/>
      <x:c r="I80" s="50"/>
      <x:c r="J80" s="54" t="str">
        <x:f>IF(A80="","",IF(I80=0,0,ROUNDUP(G80*(1+H80)/I80,0)*I80))</x:f>
      </x:c>
      <x:c r="K80" s="54"/>
      <x:c r="L80" s="54"/>
      <x:c r="M80" s="55" t="str">
        <x:f>IF(A80="","",J80*K80+L80)</x:f>
      </x:c>
      <x:c r="N80" s="50"/>
      <x:c r="O80" s="50"/>
      <x:c r="P80" s="50"/>
      <x:c r="Q80" s="50"/>
      <x:c r="R80" s="50"/>
      <x:c r="S80" s="50"/>
      <x:c r="T80" s="50"/>
      <x:c r="U80" s="50"/>
    </x:row>
    <x:row r="81">
      <x:c r="A81" s="50"/>
      <x:c r="B81" s="50"/>
      <x:c r="C81" s="50"/>
      <x:c r="D81" s="50"/>
      <x:c r="E81" s="50"/>
      <x:c r="F81" s="50"/>
      <x:c r="G81" s="50"/>
      <x:c r="H81" s="57"/>
      <x:c r="I81" s="50"/>
      <x:c r="J81" s="54" t="str">
        <x:f>IF(A81="","",IF(I81=0,0,ROUNDUP(G81*(1+H81)/I81,0)*I81))</x:f>
      </x:c>
      <x:c r="K81" s="54"/>
      <x:c r="L81" s="54"/>
      <x:c r="M81" s="55" t="str">
        <x:f>IF(A81="","",J81*K81+L81)</x:f>
      </x:c>
      <x:c r="N81" s="50"/>
      <x:c r="O81" s="50"/>
      <x:c r="P81" s="50"/>
      <x:c r="Q81" s="50"/>
      <x:c r="R81" s="50"/>
      <x:c r="S81" s="50"/>
      <x:c r="T81" s="50"/>
      <x:c r="U81" s="50"/>
    </x:row>
    <x:row r="82">
      <x:c r="A82" s="50"/>
      <x:c r="B82" s="50"/>
      <x:c r="C82" s="50"/>
      <x:c r="D82" s="50"/>
      <x:c r="E82" s="50"/>
      <x:c r="F82" s="50"/>
      <x:c r="G82" s="50"/>
      <x:c r="H82" s="57"/>
      <x:c r="I82" s="50"/>
      <x:c r="J82" s="54" t="str">
        <x:f>IF(A82="","",IF(I82=0,0,ROUNDUP(G82*(1+H82)/I82,0)*I82))</x:f>
      </x:c>
      <x:c r="K82" s="54"/>
      <x:c r="L82" s="54"/>
      <x:c r="M82" s="55" t="str">
        <x:f>IF(A82="","",J82*K82+L82)</x:f>
      </x:c>
      <x:c r="N82" s="50"/>
      <x:c r="O82" s="50"/>
      <x:c r="P82" s="50"/>
      <x:c r="Q82" s="50"/>
      <x:c r="R82" s="50"/>
      <x:c r="S82" s="50"/>
      <x:c r="T82" s="50"/>
      <x:c r="U82" s="50"/>
    </x:row>
    <x:row r="83">
      <x:c r="A83" s="50"/>
      <x:c r="B83" s="50"/>
      <x:c r="C83" s="50"/>
      <x:c r="D83" s="50"/>
      <x:c r="E83" s="50"/>
      <x:c r="F83" s="50"/>
      <x:c r="G83" s="50"/>
      <x:c r="H83" s="57"/>
      <x:c r="I83" s="50"/>
      <x:c r="J83" s="54" t="str">
        <x:f>IF(A83="","",IF(I83=0,0,ROUNDUP(G83*(1+H83)/I83,0)*I83))</x:f>
      </x:c>
      <x:c r="K83" s="54"/>
      <x:c r="L83" s="54"/>
      <x:c r="M83" s="55" t="str">
        <x:f>IF(A83="","",J83*K83+L83)</x:f>
      </x:c>
      <x:c r="N83" s="50"/>
      <x:c r="O83" s="50"/>
      <x:c r="P83" s="50"/>
      <x:c r="Q83" s="50"/>
      <x:c r="R83" s="50"/>
      <x:c r="S83" s="50"/>
      <x:c r="T83" s="50"/>
      <x:c r="U83" s="50"/>
    </x:row>
    <x:row r="84">
      <x:c r="A84" s="50"/>
      <x:c r="B84" s="50"/>
      <x:c r="C84" s="50"/>
      <x:c r="D84" s="50"/>
      <x:c r="E84" s="50"/>
      <x:c r="F84" s="50"/>
      <x:c r="G84" s="50"/>
      <x:c r="H84" s="57"/>
      <x:c r="I84" s="50"/>
      <x:c r="J84" s="54" t="str">
        <x:f>IF(A84="","",IF(I84=0,0,ROUNDUP(G84*(1+H84)/I84,0)*I84))</x:f>
      </x:c>
      <x:c r="K84" s="54"/>
      <x:c r="L84" s="54"/>
      <x:c r="M84" s="55" t="str">
        <x:f>IF(A84="","",J84*K84+L84)</x:f>
      </x:c>
      <x:c r="N84" s="50"/>
      <x:c r="O84" s="50"/>
      <x:c r="P84" s="50"/>
      <x:c r="Q84" s="50"/>
      <x:c r="R84" s="50"/>
      <x:c r="S84" s="50"/>
      <x:c r="T84" s="50"/>
      <x:c r="U84" s="50"/>
    </x:row>
    <x:row r="85">
      <x:c r="A85" s="50"/>
      <x:c r="B85" s="50"/>
      <x:c r="C85" s="50"/>
      <x:c r="D85" s="50"/>
      <x:c r="E85" s="50"/>
      <x:c r="F85" s="50"/>
      <x:c r="G85" s="50"/>
      <x:c r="H85" s="57"/>
      <x:c r="I85" s="50"/>
      <x:c r="J85" s="54" t="str">
        <x:f>IF(A85="","",IF(I85=0,0,ROUNDUP(G85*(1+H85)/I85,0)*I85))</x:f>
      </x:c>
      <x:c r="K85" s="54"/>
      <x:c r="L85" s="54"/>
      <x:c r="M85" s="55" t="str">
        <x:f>IF(A85="","",J85*K85+L85)</x:f>
      </x:c>
      <x:c r="N85" s="50"/>
      <x:c r="O85" s="50"/>
      <x:c r="P85" s="50"/>
      <x:c r="Q85" s="50"/>
      <x:c r="R85" s="50"/>
      <x:c r="S85" s="50"/>
      <x:c r="T85" s="50"/>
      <x:c r="U85" s="50"/>
    </x:row>
    <x:row r="86">
      <x:c r="A86" s="50"/>
      <x:c r="B86" s="50"/>
      <x:c r="C86" s="50"/>
      <x:c r="D86" s="50"/>
      <x:c r="E86" s="50"/>
      <x:c r="F86" s="50"/>
      <x:c r="G86" s="50"/>
      <x:c r="H86" s="57"/>
      <x:c r="I86" s="50"/>
      <x:c r="J86" s="54" t="str">
        <x:f>IF(A86="","",IF(I86=0,0,ROUNDUP(G86*(1+H86)/I86,0)*I86))</x:f>
      </x:c>
      <x:c r="K86" s="54"/>
      <x:c r="L86" s="54"/>
      <x:c r="M86" s="55" t="str">
        <x:f>IF(A86="","",J86*K86+L86)</x:f>
      </x:c>
      <x:c r="N86" s="50"/>
      <x:c r="O86" s="50"/>
      <x:c r="P86" s="50"/>
      <x:c r="Q86" s="50"/>
      <x:c r="R86" s="50"/>
      <x:c r="S86" s="50"/>
      <x:c r="T86" s="50"/>
      <x:c r="U86" s="50"/>
    </x:row>
    <x:row r="87">
      <x:c r="A87" s="50"/>
      <x:c r="B87" s="50"/>
      <x:c r="C87" s="50"/>
      <x:c r="D87" s="50"/>
      <x:c r="E87" s="50"/>
      <x:c r="F87" s="50"/>
      <x:c r="G87" s="50"/>
      <x:c r="H87" s="57"/>
      <x:c r="I87" s="50"/>
      <x:c r="J87" s="54" t="str">
        <x:f>IF(A87="","",IF(I87=0,0,ROUNDUP(G87*(1+H87)/I87,0)*I87))</x:f>
      </x:c>
      <x:c r="K87" s="54"/>
      <x:c r="L87" s="54"/>
      <x:c r="M87" s="55" t="str">
        <x:f>IF(A87="","",J87*K87+L87)</x:f>
      </x:c>
      <x:c r="N87" s="50"/>
      <x:c r="O87" s="50"/>
      <x:c r="P87" s="50"/>
      <x:c r="Q87" s="50"/>
      <x:c r="R87" s="50"/>
      <x:c r="S87" s="50"/>
      <x:c r="T87" s="50"/>
      <x:c r="U87" s="50"/>
    </x:row>
    <x:row r="88">
      <x:c r="A88" s="50"/>
      <x:c r="B88" s="50"/>
      <x:c r="C88" s="50"/>
      <x:c r="D88" s="50"/>
      <x:c r="E88" s="50"/>
      <x:c r="F88" s="50"/>
      <x:c r="G88" s="50"/>
      <x:c r="H88" s="57"/>
      <x:c r="I88" s="50"/>
      <x:c r="J88" s="54" t="str">
        <x:f>IF(A88="","",IF(I88=0,0,ROUNDUP(G88*(1+H88)/I88,0)*I88))</x:f>
      </x:c>
      <x:c r="K88" s="54"/>
      <x:c r="L88" s="54"/>
      <x:c r="M88" s="55" t="str">
        <x:f>IF(A88="","",J88*K88+L88)</x:f>
      </x:c>
      <x:c r="N88" s="50"/>
      <x:c r="O88" s="50"/>
      <x:c r="P88" s="50"/>
      <x:c r="Q88" s="50"/>
      <x:c r="R88" s="50"/>
      <x:c r="S88" s="50"/>
      <x:c r="T88" s="50"/>
      <x:c r="U88" s="50"/>
    </x:row>
    <x:row r="89">
      <x:c r="A89" s="50"/>
      <x:c r="B89" s="50"/>
      <x:c r="C89" s="50"/>
      <x:c r="D89" s="50"/>
      <x:c r="E89" s="50"/>
      <x:c r="F89" s="50"/>
      <x:c r="G89" s="50"/>
      <x:c r="H89" s="57"/>
      <x:c r="I89" s="50"/>
      <x:c r="J89" s="54" t="str">
        <x:f>IF(A89="","",IF(I89=0,0,ROUNDUP(G89*(1+H89)/I89,0)*I89))</x:f>
      </x:c>
      <x:c r="K89" s="54"/>
      <x:c r="L89" s="54"/>
      <x:c r="M89" s="55" t="str">
        <x:f>IF(A89="","",J89*K89+L89)</x:f>
      </x:c>
      <x:c r="N89" s="50"/>
      <x:c r="O89" s="50"/>
      <x:c r="P89" s="50"/>
      <x:c r="Q89" s="50"/>
      <x:c r="R89" s="50"/>
      <x:c r="S89" s="50"/>
      <x:c r="T89" s="50"/>
      <x:c r="U89" s="50"/>
    </x:row>
    <x:row r="90">
      <x:c r="A90" s="50"/>
      <x:c r="B90" s="50"/>
      <x:c r="C90" s="50"/>
      <x:c r="D90" s="50"/>
      <x:c r="E90" s="50"/>
      <x:c r="F90" s="50"/>
      <x:c r="G90" s="50"/>
      <x:c r="H90" s="57"/>
      <x:c r="I90" s="50"/>
      <x:c r="J90" s="54" t="str">
        <x:f>IF(A90="","",IF(I90=0,0,ROUNDUP(G90*(1+H90)/I90,0)*I90))</x:f>
      </x:c>
      <x:c r="K90" s="54"/>
      <x:c r="L90" s="54"/>
      <x:c r="M90" s="55" t="str">
        <x:f>IF(A90="","",J90*K90+L90)</x:f>
      </x:c>
      <x:c r="N90" s="50"/>
      <x:c r="O90" s="50"/>
      <x:c r="P90" s="50"/>
      <x:c r="Q90" s="50"/>
      <x:c r="R90" s="50"/>
      <x:c r="S90" s="50"/>
      <x:c r="T90" s="50"/>
      <x:c r="U90" s="50"/>
    </x:row>
    <x:row r="91">
      <x:c r="A91" s="50"/>
      <x:c r="B91" s="50"/>
      <x:c r="C91" s="50"/>
      <x:c r="D91" s="50"/>
      <x:c r="E91" s="50"/>
      <x:c r="F91" s="50"/>
      <x:c r="G91" s="50"/>
      <x:c r="H91" s="57"/>
      <x:c r="I91" s="50"/>
      <x:c r="J91" s="54" t="str">
        <x:f>IF(A91="","",IF(I91=0,0,ROUNDUP(G91*(1+H91)/I91,0)*I91))</x:f>
      </x:c>
      <x:c r="K91" s="54"/>
      <x:c r="L91" s="54"/>
      <x:c r="M91" s="55" t="str">
        <x:f>IF(A91="","",J91*K91+L91)</x:f>
      </x:c>
      <x:c r="N91" s="50"/>
      <x:c r="O91" s="50"/>
      <x:c r="P91" s="50"/>
      <x:c r="Q91" s="50"/>
      <x:c r="R91" s="50"/>
      <x:c r="S91" s="50"/>
      <x:c r="T91" s="50"/>
      <x:c r="U91" s="50"/>
    </x:row>
    <x:row r="92">
      <x:c r="A92" s="50"/>
      <x:c r="B92" s="50"/>
      <x:c r="C92" s="50"/>
      <x:c r="D92" s="50"/>
      <x:c r="E92" s="50"/>
      <x:c r="F92" s="50"/>
      <x:c r="G92" s="50"/>
      <x:c r="H92" s="57"/>
      <x:c r="I92" s="50"/>
      <x:c r="J92" s="54" t="str">
        <x:f>IF(A92="","",IF(I92=0,0,ROUNDUP(G92*(1+H92)/I92,0)*I92))</x:f>
      </x:c>
      <x:c r="K92" s="54"/>
      <x:c r="L92" s="54"/>
      <x:c r="M92" s="55" t="str">
        <x:f>IF(A92="","",J92*K92+L92)</x:f>
      </x:c>
      <x:c r="N92" s="50"/>
      <x:c r="O92" s="50"/>
      <x:c r="P92" s="50"/>
      <x:c r="Q92" s="50"/>
      <x:c r="R92" s="50"/>
      <x:c r="S92" s="50"/>
      <x:c r="T92" s="50"/>
      <x:c r="U92" s="50"/>
    </x:row>
    <x:row r="93">
      <x:c r="A93" s="50"/>
      <x:c r="B93" s="50"/>
      <x:c r="C93" s="50"/>
      <x:c r="D93" s="50"/>
      <x:c r="E93" s="50"/>
      <x:c r="F93" s="50"/>
      <x:c r="G93" s="50"/>
      <x:c r="H93" s="57"/>
      <x:c r="I93" s="50"/>
      <x:c r="J93" s="54" t="str">
        <x:f>IF(A93="","",IF(I93=0,0,ROUNDUP(G93*(1+H93)/I93,0)*I93))</x:f>
      </x:c>
      <x:c r="K93" s="54"/>
      <x:c r="L93" s="54"/>
      <x:c r="M93" s="55" t="str">
        <x:f>IF(A93="","",J93*K93+L93)</x:f>
      </x:c>
      <x:c r="N93" s="50"/>
      <x:c r="O93" s="50"/>
      <x:c r="P93" s="50"/>
      <x:c r="Q93" s="50"/>
      <x:c r="R93" s="50"/>
      <x:c r="S93" s="50"/>
      <x:c r="T93" s="50"/>
      <x:c r="U93" s="50"/>
    </x:row>
    <x:row r="94">
      <x:c r="A94" s="50"/>
      <x:c r="B94" s="50"/>
      <x:c r="C94" s="50"/>
      <x:c r="D94" s="50"/>
      <x:c r="E94" s="50"/>
      <x:c r="F94" s="50"/>
      <x:c r="G94" s="50"/>
      <x:c r="H94" s="57"/>
      <x:c r="I94" s="50"/>
      <x:c r="J94" s="54" t="str">
        <x:f>IF(A94="","",IF(I94=0,0,ROUNDUP(G94*(1+H94)/I94,0)*I94))</x:f>
      </x:c>
      <x:c r="K94" s="54"/>
      <x:c r="L94" s="54"/>
      <x:c r="M94" s="55" t="str">
        <x:f>IF(A94="","",J94*K94+L94)</x:f>
      </x:c>
      <x:c r="N94" s="50"/>
      <x:c r="O94" s="50"/>
      <x:c r="P94" s="50"/>
      <x:c r="Q94" s="50"/>
      <x:c r="R94" s="50"/>
      <x:c r="S94" s="50"/>
      <x:c r="T94" s="50"/>
      <x:c r="U94" s="50"/>
    </x:row>
    <x:row r="95">
      <x:c r="A95" s="50"/>
      <x:c r="B95" s="50"/>
      <x:c r="C95" s="50"/>
      <x:c r="D95" s="50"/>
      <x:c r="E95" s="50"/>
      <x:c r="F95" s="50"/>
      <x:c r="G95" s="50"/>
      <x:c r="H95" s="57"/>
      <x:c r="I95" s="50"/>
      <x:c r="J95" s="54" t="str">
        <x:f>IF(A95="","",IF(I95=0,0,ROUNDUP(G95*(1+H95)/I95,0)*I95))</x:f>
      </x:c>
      <x:c r="K95" s="54"/>
      <x:c r="L95" s="54"/>
      <x:c r="M95" s="55" t="str">
        <x:f>IF(A95="","",J95*K95+L95)</x:f>
      </x:c>
      <x:c r="N95" s="50"/>
      <x:c r="O95" s="50"/>
      <x:c r="P95" s="50"/>
      <x:c r="Q95" s="50"/>
      <x:c r="R95" s="50"/>
      <x:c r="S95" s="50"/>
      <x:c r="T95" s="50"/>
      <x:c r="U95" s="50"/>
    </x:row>
    <x:row r="96">
      <x:c r="A96" s="50"/>
      <x:c r="B96" s="50"/>
      <x:c r="C96" s="50"/>
      <x:c r="D96" s="50"/>
      <x:c r="E96" s="50"/>
      <x:c r="F96" s="50"/>
      <x:c r="G96" s="50"/>
      <x:c r="H96" s="57"/>
      <x:c r="I96" s="50"/>
      <x:c r="J96" s="54" t="str">
        <x:f>IF(A96="","",IF(I96=0,0,ROUNDUP(G96*(1+H96)/I96,0)*I96))</x:f>
      </x:c>
      <x:c r="K96" s="54"/>
      <x:c r="L96" s="54"/>
      <x:c r="M96" s="55" t="str">
        <x:f>IF(A96="","",J96*K96+L96)</x:f>
      </x:c>
      <x:c r="N96" s="50"/>
      <x:c r="O96" s="50"/>
      <x:c r="P96" s="50"/>
      <x:c r="Q96" s="50"/>
      <x:c r="R96" s="50"/>
      <x:c r="S96" s="50"/>
      <x:c r="T96" s="50"/>
      <x:c r="U96" s="50"/>
    </x:row>
    <x:row r="97">
      <x:c r="A97" s="50"/>
      <x:c r="B97" s="50"/>
      <x:c r="C97" s="50"/>
      <x:c r="D97" s="50"/>
      <x:c r="E97" s="50"/>
      <x:c r="F97" s="50"/>
      <x:c r="G97" s="50"/>
      <x:c r="H97" s="57"/>
      <x:c r="I97" s="50"/>
      <x:c r="J97" s="54" t="str">
        <x:f>IF(A97="","",IF(I97=0,0,ROUNDUP(G97*(1+H97)/I97,0)*I97))</x:f>
      </x:c>
      <x:c r="K97" s="54"/>
      <x:c r="L97" s="54"/>
      <x:c r="M97" s="55" t="str">
        <x:f>IF(A97="","",J97*K97+L97)</x:f>
      </x:c>
      <x:c r="N97" s="50"/>
      <x:c r="O97" s="50"/>
      <x:c r="P97" s="50"/>
      <x:c r="Q97" s="50"/>
      <x:c r="R97" s="50"/>
      <x:c r="S97" s="50"/>
      <x:c r="T97" s="50"/>
      <x:c r="U97" s="50"/>
    </x:row>
    <x:row r="98">
      <x:c r="A98" s="50"/>
      <x:c r="B98" s="50"/>
      <x:c r="C98" s="50"/>
      <x:c r="D98" s="50"/>
      <x:c r="E98" s="50"/>
      <x:c r="F98" s="50"/>
      <x:c r="G98" s="50"/>
      <x:c r="H98" s="57"/>
      <x:c r="I98" s="50"/>
      <x:c r="J98" s="54" t="str">
        <x:f>IF(A98="","",IF(I98=0,0,ROUNDUP(G98*(1+H98)/I98,0)*I98))</x:f>
      </x:c>
      <x:c r="K98" s="54"/>
      <x:c r="L98" s="54"/>
      <x:c r="M98" s="55" t="str">
        <x:f>IF(A98="","",J98*K98+L98)</x:f>
      </x:c>
      <x:c r="N98" s="50"/>
      <x:c r="O98" s="50"/>
      <x:c r="P98" s="50"/>
      <x:c r="Q98" s="50"/>
      <x:c r="R98" s="50"/>
      <x:c r="S98" s="50"/>
      <x:c r="T98" s="50"/>
      <x:c r="U98" s="50"/>
    </x:row>
    <x:row r="99">
      <x:c r="A99" s="50"/>
      <x:c r="B99" s="50"/>
      <x:c r="C99" s="50"/>
      <x:c r="D99" s="50"/>
      <x:c r="E99" s="50"/>
      <x:c r="F99" s="50"/>
      <x:c r="G99" s="50"/>
      <x:c r="H99" s="57"/>
      <x:c r="I99" s="50"/>
      <x:c r="J99" s="54" t="str">
        <x:f>IF(A99="","",IF(I99=0,0,ROUNDUP(G99*(1+H99)/I99,0)*I99))</x:f>
      </x:c>
      <x:c r="K99" s="54"/>
      <x:c r="L99" s="54"/>
      <x:c r="M99" s="55" t="str">
        <x:f>IF(A99="","",J99*K99+L99)</x:f>
      </x:c>
      <x:c r="N99" s="50"/>
      <x:c r="O99" s="50"/>
      <x:c r="P99" s="50"/>
      <x:c r="Q99" s="50"/>
      <x:c r="R99" s="50"/>
      <x:c r="S99" s="50"/>
      <x:c r="T99" s="50"/>
      <x:c r="U99" s="50"/>
    </x:row>
    <x:row r="100">
      <x:c r="A100" s="50"/>
      <x:c r="B100" s="50"/>
      <x:c r="C100" s="50"/>
      <x:c r="D100" s="50"/>
      <x:c r="E100" s="50"/>
      <x:c r="F100" s="50"/>
      <x:c r="G100" s="50"/>
      <x:c r="H100" s="57"/>
      <x:c r="I100" s="50"/>
      <x:c r="J100" s="54" t="str">
        <x:f>IF(A100="","",IF(I100=0,0,ROUNDUP(G100*(1+H100)/I100,0)*I100))</x:f>
      </x:c>
      <x:c r="K100" s="54"/>
      <x:c r="L100" s="54"/>
      <x:c r="M100" s="55" t="str">
        <x:f>IF(A100="","",J100*K100+L100)</x:f>
      </x:c>
      <x:c r="N100" s="50"/>
      <x:c r="O100" s="50"/>
      <x:c r="P100" s="50"/>
      <x:c r="Q100" s="50"/>
      <x:c r="R100" s="50"/>
      <x:c r="S100" s="50"/>
      <x:c r="T100" s="50"/>
      <x:c r="U100" s="50"/>
    </x:row>
    <x:row r="101">
      <x:c r="A101" s="50"/>
      <x:c r="B101" s="50"/>
      <x:c r="C101" s="50"/>
      <x:c r="D101" s="50"/>
      <x:c r="E101" s="50"/>
      <x:c r="F101" s="50"/>
      <x:c r="G101" s="50"/>
      <x:c r="H101" s="57"/>
      <x:c r="I101" s="50"/>
      <x:c r="J101" s="54" t="str">
        <x:f>IF(A101="","",IF(I101=0,0,ROUNDUP(G101*(1+H101)/I101,0)*I101))</x:f>
      </x:c>
      <x:c r="K101" s="54"/>
      <x:c r="L101" s="54"/>
      <x:c r="M101" s="55" t="str">
        <x:f>IF(A101="","",J101*K101+L101)</x:f>
      </x:c>
      <x:c r="N101" s="50"/>
      <x:c r="O101" s="50"/>
      <x:c r="P101" s="50"/>
      <x:c r="Q101" s="50"/>
      <x:c r="R101" s="50"/>
      <x:c r="S101" s="50"/>
      <x:c r="T101" s="50"/>
      <x:c r="U101" s="50"/>
    </x:row>
    <x:row r="102">
      <x:c r="A102" s="50"/>
      <x:c r="B102" s="50"/>
      <x:c r="C102" s="50"/>
      <x:c r="D102" s="50"/>
      <x:c r="E102" s="50"/>
      <x:c r="F102" s="50"/>
      <x:c r="G102" s="50"/>
      <x:c r="H102" s="57"/>
      <x:c r="I102" s="50"/>
      <x:c r="J102" s="54" t="str">
        <x:f>IF(A102="","",IF(I102=0,0,ROUNDUP(G102*(1+H102)/I102,0)*I102))</x:f>
      </x:c>
      <x:c r="K102" s="54"/>
      <x:c r="L102" s="54"/>
      <x:c r="M102" s="55" t="str">
        <x:f>IF(A102="","",J102*K102+L102)</x:f>
      </x:c>
      <x:c r="N102" s="50"/>
      <x:c r="O102" s="50"/>
      <x:c r="P102" s="50"/>
      <x:c r="Q102" s="50"/>
      <x:c r="R102" s="50"/>
      <x:c r="S102" s="50"/>
      <x:c r="T102" s="50"/>
      <x:c r="U102" s="50"/>
    </x:row>
    <x:row r="103">
      <x:c r="A103" s="50"/>
      <x:c r="B103" s="50"/>
      <x:c r="C103" s="50"/>
      <x:c r="D103" s="50"/>
      <x:c r="E103" s="50"/>
      <x:c r="F103" s="50"/>
      <x:c r="G103" s="50"/>
      <x:c r="H103" s="57"/>
      <x:c r="I103" s="50"/>
      <x:c r="J103" s="54" t="str">
        <x:f>IF(A103="","",IF(I103=0,0,ROUNDUP(G103*(1+H103)/I103,0)*I103))</x:f>
      </x:c>
      <x:c r="K103" s="54"/>
      <x:c r="L103" s="54"/>
      <x:c r="M103" s="55" t="str">
        <x:f>IF(A103="","",J103*K103+L103)</x:f>
      </x:c>
      <x:c r="N103" s="50"/>
      <x:c r="O103" s="50"/>
      <x:c r="P103" s="50"/>
      <x:c r="Q103" s="50"/>
      <x:c r="R103" s="50"/>
      <x:c r="S103" s="50"/>
      <x:c r="T103" s="50"/>
      <x:c r="U103" s="50"/>
    </x:row>
    <x:row r="104">
      <x:c r="A104" s="50"/>
      <x:c r="B104" s="50"/>
      <x:c r="C104" s="50"/>
      <x:c r="D104" s="50"/>
      <x:c r="E104" s="50"/>
      <x:c r="F104" s="50"/>
      <x:c r="G104" s="50"/>
      <x:c r="H104" s="57"/>
      <x:c r="I104" s="50"/>
      <x:c r="J104" s="54" t="str">
        <x:f>IF(A104="","",IF(I104=0,0,ROUNDUP(G104*(1+H104)/I104,0)*I104))</x:f>
      </x:c>
      <x:c r="K104" s="54"/>
      <x:c r="L104" s="54"/>
      <x:c r="M104" s="55" t="str">
        <x:f>IF(A104="","",J104*K104+L104)</x:f>
      </x:c>
      <x:c r="N104" s="50"/>
      <x:c r="O104" s="50"/>
      <x:c r="P104" s="50"/>
      <x:c r="Q104" s="50"/>
      <x:c r="R104" s="50"/>
      <x:c r="S104" s="50"/>
      <x:c r="T104" s="50"/>
      <x:c r="U104" s="50"/>
    </x:row>
  </x:sheetData>
  <x:mergeCells>
    <x:mergeCell ref="A1:U1"/>
    <x:mergeCell ref="A2:U2"/>
  </x:mergeCells>
  <x:dataValidations count="1">
    <x:dataValidation type="list" sqref="U5:U104">
      <x:formula1>"추천,조건부 추천,현장 조건 확인,유행보다 관리,대체 권장,추천하지 않음"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9" hidden="0" customWidth="1"/>
    <x:col min="4" max="4" width="12" hidden="0" customWidth="1"/>
    <x:col min="5" max="5" width="28" hidden="0" customWidth="1"/>
    <x:col min="6" max="6" width="12" hidden="0" customWidth="1"/>
    <x:col min="7" max="7" width="12" hidden="0" customWidth="1"/>
    <x:col min="8" max="8" width="28" hidden="0" customWidth="1"/>
    <x:col min="9" max="9" width="15" hidden="0" customWidth="1"/>
    <x:col min="10" max="10" width="34" hidden="0" customWidth="1"/>
  </x:cols>
  <x:sheetData>
    <x:row r="1" ht="34" customHeight="1">
      <x:c r="A1" s="3" t="str">
        <x:v>05 | 셀프·부분 외주·전문가 구분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비용 절감보다 안전과 하자 위험을 먼저 판단합니다.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5" customHeight="1">
      <x:c r="A4" s="16" t="str">
        <x:v>공간</x:v>
      </x:c>
      <x:c r="B4" s="17" t="str">
        <x:v>작업</x:v>
      </x:c>
      <x:c r="C4" s="17" t="str">
        <x:v>권장 방식</x:v>
      </x:c>
      <x:c r="D4" s="17" t="str">
        <x:v>안전 등급</x:v>
      </x:c>
      <x:c r="E4" s="17" t="str">
        <x:v>필요 경험·공구</x:v>
      </x:c>
      <x:c r="F4" s="17" t="str">
        <x:v>예상 시간</x:v>
      </x:c>
      <x:c r="G4" s="17" t="str">
        <x:v>보조 인원</x:v>
      </x:c>
      <x:c r="H4" s="17" t="str">
        <x:v>주요 위험</x:v>
      </x:c>
      <x:c r="I4" s="17" t="str">
        <x:v>전문가 확인</x:v>
      </x:c>
      <x:c r="J4" s="18" t="str">
        <x:v>판단 근거</x:v>
      </x:c>
    </x:row>
    <x:row r="5">
      <x:c r="A5" s="50" t="str">
        <x:v>전체</x:v>
      </x:c>
      <x:c r="B5" s="50" t="str">
        <x:v>정리·가벼운 철거</x:v>
      </x:c>
      <x:c r="C5" s="50" t="str">
        <x:v>셀프 가능</x:v>
      </x:c>
      <x:c r="D5" s="50" t="str">
        <x:v>A</x:v>
      </x:c>
      <x:c r="E5" s="50" t="str">
        <x:v>기본 공구</x:v>
      </x:c>
      <x:c r="F5" s="50" t="n">
        <x:v>0</x:v>
      </x:c>
      <x:c r="G5" s="50" t="n">
        <x:v>0</x:v>
      </x:c>
      <x:c r="H5" s="50" t="str">
        <x:v>분진·날카로운 면</x:v>
      </x:c>
      <x:c r="I5" s="50" t="str">
        <x:v>아니오</x:v>
      </x:c>
      <x:c r="J5" s="50" t="str">
        <x:v>작은 범위 기준</x:v>
      </x:c>
    </x:row>
    <x:row r="6">
      <x:c r="A6" s="50" t="str">
        <x:v>전체</x:v>
      </x:c>
      <x:c r="B6" s="50" t="str">
        <x:v>대형 가구 해체·반출</x:v>
      </x:c>
      <x:c r="C6" s="50" t="str">
        <x:v>부분 외주 권장</x:v>
      </x:c>
      <x:c r="D6" s="50" t="str">
        <x:v>C</x:v>
      </x:c>
      <x:c r="E6" s="50" t="str">
        <x:v>절단 공구·운반 경험</x:v>
      </x:c>
      <x:c r="F6" s="50" t="n">
        <x:v>0</x:v>
      </x:c>
      <x:c r="G6" s="50" t="n">
        <x:v>2</x:v>
      </x:c>
      <x:c r="H6" s="50" t="str">
        <x:v>끼임·낙하·전선 손상</x:v>
      </x:c>
      <x:c r="I6" s="50" t="str">
        <x:v>조건부</x:v>
      </x:c>
      <x:c r="J6" s="50" t="str">
        <x:v>부피와 반출 동선 확인</x:v>
      </x:c>
    </x:row>
    <x:row r="7">
      <x:c r="A7" s="50" t="str">
        <x:v>욕실</x:v>
      </x:c>
      <x:c r="B7" s="50" t="str">
        <x:v>방수</x:v>
      </x:c>
      <x:c r="C7" s="50" t="str">
        <x:v>전문가 시공 권장</x:v>
      </x:c>
      <x:c r="D7" s="50" t="str">
        <x:v>E</x:v>
      </x:c>
      <x:c r="E7" s="50" t="str">
        <x:v>전문 기술</x:v>
      </x:c>
      <x:c r="F7" s="50" t="n">
        <x:v>0</x:v>
      </x:c>
      <x:c r="G7" s="50" t="n">
        <x:v>0</x:v>
      </x:c>
      <x:c r="H7" s="50" t="str">
        <x:v>누수·하자 책임</x:v>
      </x:c>
      <x:c r="I7" s="50" t="str">
        <x:v>필수</x:v>
      </x:c>
      <x:c r="J7" s="50" t="str">
        <x:v>방수층 연속성과 배수</x:v>
      </x:c>
    </x:row>
    <x:row r="8">
      <x:c r="A8" s="50" t="str">
        <x:v>전기</x:v>
      </x:c>
      <x:c r="B8" s="50" t="str">
        <x:v>회로 변경</x:v>
      </x:c>
      <x:c r="C8" s="50" t="str">
        <x:v>전문가 시공 권장</x:v>
      </x:c>
      <x:c r="D8" s="50" t="str">
        <x:v>E</x:v>
      </x:c>
      <x:c r="E8" s="50" t="str">
        <x:v>전기 전문</x:v>
      </x:c>
      <x:c r="F8" s="50" t="n">
        <x:v>0</x:v>
      </x:c>
      <x:c r="G8" s="50" t="n">
        <x:v>0</x:v>
      </x:c>
      <x:c r="H8" s="50" t="str">
        <x:v>감전·화재</x:v>
      </x:c>
      <x:c r="I8" s="50" t="str">
        <x:v>필수</x:v>
      </x:c>
      <x:c r="J8" s="50" t="str">
        <x:v>용량·법규 확인</x:v>
      </x:c>
    </x:row>
    <x:row r="9">
      <x:c r="A9" s="50" t="str">
        <x:v>벽</x:v>
      </x:c>
      <x:c r="B9" s="50" t="str">
        <x:v>부분 도장</x:v>
      </x:c>
      <x:c r="C9" s="50" t="str">
        <x:v>셀프 가능</x:v>
      </x:c>
      <x:c r="D9" s="50" t="str">
        <x:v>B</x:v>
      </x:c>
      <x:c r="E9" s="50" t="str">
        <x:v>샌딩·도장</x:v>
      </x:c>
      <x:c r="F9" s="50" t="n">
        <x:v>0</x:v>
      </x:c>
      <x:c r="G9" s="50" t="n">
        <x:v>1</x:v>
      </x:c>
      <x:c r="H9" s="50" t="str">
        <x:v>분진·면 불량</x:v>
      </x:c>
      <x:c r="I9" s="50" t="str">
        <x:v>아니오</x:v>
      </x:c>
      <x:c r="J9" s="50" t="str">
        <x:v>바탕면 양호 기준</x:v>
      </x:c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  <x:c r="J11" s="50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</x:row>
  </x:sheetData>
  <x:mergeCells>
    <x:mergeCell ref="A1:J1"/>
    <x:mergeCell ref="A2:J2"/>
  </x:mergeCells>
  <x:dataValidations count="2">
    <x:dataValidation type="list" sqref="C5:C104">
      <x:formula1>"셀프 가능,부분 외주 권장,전문가 시공 권장"</x:formula1>
    </x:dataValidation>
    <x:dataValidation type="list" sqref="D5:D104">
      <x:formula1>"A,B,C,D,E"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1" hidden="0" customWidth="1"/>
    <x:col min="10" max="10" width="20" hidden="0" customWidth="1"/>
    <x:col min="11" max="11" width="11" hidden="0" customWidth="1"/>
    <x:col min="12" max="12" width="11" hidden="0" customWidth="1"/>
    <x:col min="13" max="13" width="18" hidden="0" customWidth="1"/>
    <x:col min="14" max="14" width="13" hidden="0" customWidth="1"/>
    <x:col min="15" max="15" width="13" hidden="0" customWidth="1"/>
    <x:col min="16" max="16" width="28" hidden="0" customWidth="1"/>
  </x:cols>
  <x:sheetData>
    <x:row r="1" ht="34" customHeight="1">
      <x:c r="A1" s="3" t="str">
        <x:v>06 | 공정·발주 관리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선행 작업, 건조 시간, 담당자와 자재 도착일을 함께 관리합니다.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5" customHeight="1">
      <x:c r="A4" s="16" t="str">
        <x:v>순서</x:v>
      </x:c>
      <x:c r="B4" s="17" t="str">
        <x:v>공정</x:v>
      </x:c>
      <x:c r="C4" s="17" t="str">
        <x:v>세부 작업</x:v>
      </x:c>
      <x:c r="D4" s="17" t="str">
        <x:v>선행 조건</x:v>
      </x:c>
      <x:c r="E4" s="17" t="str">
        <x:v>시작 예정</x:v>
      </x:c>
      <x:c r="F4" s="17" t="str">
        <x:v>완료 예정</x:v>
      </x:c>
      <x:c r="G4" s="17" t="str">
        <x:v>건조/대기</x:v>
      </x:c>
      <x:c r="H4" s="17" t="str">
        <x:v>담당</x:v>
      </x:c>
      <x:c r="I4" s="17" t="str">
        <x:v>상태</x:v>
      </x:c>
      <x:c r="J4" s="17" t="str">
        <x:v>자재</x:v>
      </x:c>
      <x:c r="K4" s="17" t="str">
        <x:v>필요량</x:v>
      </x:c>
      <x:c r="L4" s="17" t="str">
        <x:v>발주량</x:v>
      </x:c>
      <x:c r="M4" s="17" t="str">
        <x:v>판매처</x:v>
      </x:c>
      <x:c r="N4" s="17" t="str">
        <x:v>주문일</x:v>
      </x:c>
      <x:c r="O4" s="17" t="str">
        <x:v>도착예정</x:v>
      </x:c>
      <x:c r="P4" s="18" t="str">
        <x:v>반품·보관 조건</x:v>
      </x:c>
    </x:row>
    <x:row r="5">
      <x:c r="A5" s="50" t="n">
        <x:v>1</x:v>
      </x:c>
      <x:c r="B5" s="50" t="str">
        <x:v>신고·보양</x:v>
      </x:c>
      <x:c r="C5" s="50" t="str">
        <x:v>[세부 작업]</x:v>
      </x:c>
      <x:c r="D5" s="50" t="str">
        <x:v>현장 규정 확인</x:v>
      </x:c>
      <x:c r="E5" s="53"/>
      <x:c r="F5" s="53"/>
      <x:c r="G5" s="50" t="str">
        <x:v>[시간]</x:v>
      </x:c>
      <x:c r="H5" s="50" t="str">
        <x:v>[담당]</x:v>
      </x:c>
      <x:c r="I5" s="50" t="str">
        <x:v>예정</x:v>
      </x:c>
      <x:c r="J5" s="50" t="str">
        <x:v>[자재]</x:v>
      </x:c>
      <x:c r="K5" s="50" t="n">
        <x:v>0</x:v>
      </x:c>
      <x:c r="L5" s="50" t="n">
        <x:v>0</x:v>
      </x:c>
      <x:c r="M5" s="50" t="str">
        <x:v>[판매처]</x:v>
      </x:c>
      <x:c r="N5" s="53"/>
      <x:c r="O5" s="53"/>
      <x:c r="P5" s="50" t="str">
        <x:v>[조건]</x:v>
      </x:c>
    </x:row>
    <x:row r="6">
      <x:c r="A6" s="50" t="n">
        <x:v>2</x:v>
      </x:c>
      <x:c r="B6" s="50" t="str">
        <x:v>철거</x:v>
      </x:c>
      <x:c r="C6" s="50" t="str">
        <x:v>[세부 작업]</x:v>
      </x:c>
      <x:c r="D6" s="50" t="str">
        <x:v>신고·보양</x:v>
      </x:c>
      <x:c r="E6" s="53"/>
      <x:c r="F6" s="53"/>
      <x:c r="G6" s="50" t="str">
        <x:v>[시간]</x:v>
      </x:c>
      <x:c r="H6" s="50" t="str">
        <x:v>[담당]</x:v>
      </x:c>
      <x:c r="I6" s="50" t="str">
        <x:v>예정</x:v>
      </x:c>
      <x:c r="J6" s="50" t="str">
        <x:v>[자재]</x:v>
      </x:c>
      <x:c r="K6" s="50" t="n">
        <x:v>0</x:v>
      </x:c>
      <x:c r="L6" s="50" t="n">
        <x:v>0</x:v>
      </x:c>
      <x:c r="M6" s="50" t="str">
        <x:v>[판매처]</x:v>
      </x:c>
      <x:c r="N6" s="53"/>
      <x:c r="O6" s="53"/>
      <x:c r="P6" s="50" t="str">
        <x:v>[조건]</x:v>
      </x:c>
    </x:row>
    <x:row r="7">
      <x:c r="A7" s="50" t="n">
        <x:v>3</x:v>
      </x:c>
      <x:c r="B7" s="50" t="str">
        <x:v>설비·전기</x:v>
      </x:c>
      <x:c r="C7" s="50" t="str">
        <x:v>[세부 작업]</x:v>
      </x:c>
      <x:c r="D7" s="50" t="str">
        <x:v>철거</x:v>
      </x:c>
      <x:c r="E7" s="53"/>
      <x:c r="F7" s="53"/>
      <x:c r="G7" s="50" t="str">
        <x:v>[시간]</x:v>
      </x:c>
      <x:c r="H7" s="50" t="str">
        <x:v>[담당]</x:v>
      </x:c>
      <x:c r="I7" s="50" t="str">
        <x:v>예정</x:v>
      </x:c>
      <x:c r="J7" s="50" t="str">
        <x:v>[자재]</x:v>
      </x:c>
      <x:c r="K7" s="50" t="n">
        <x:v>0</x:v>
      </x:c>
      <x:c r="L7" s="50" t="n">
        <x:v>0</x:v>
      </x:c>
      <x:c r="M7" s="50" t="str">
        <x:v>[판매처]</x:v>
      </x:c>
      <x:c r="N7" s="53"/>
      <x:c r="O7" s="53"/>
      <x:c r="P7" s="50" t="str">
        <x:v>[조건]</x:v>
      </x:c>
    </x:row>
    <x:row r="8">
      <x:c r="A8" s="50" t="n">
        <x:v>4</x:v>
      </x:c>
      <x:c r="B8" s="50" t="str">
        <x:v>목공</x:v>
      </x:c>
      <x:c r="C8" s="50" t="str">
        <x:v>[세부 작업]</x:v>
      </x:c>
      <x:c r="D8" s="50" t="str">
        <x:v>설비·전기</x:v>
      </x:c>
      <x:c r="E8" s="53"/>
      <x:c r="F8" s="53"/>
      <x:c r="G8" s="50" t="str">
        <x:v>[시간]</x:v>
      </x:c>
      <x:c r="H8" s="50" t="str">
        <x:v>[담당]</x:v>
      </x:c>
      <x:c r="I8" s="50" t="str">
        <x:v>예정</x:v>
      </x:c>
      <x:c r="J8" s="50" t="str">
        <x:v>[자재]</x:v>
      </x:c>
      <x:c r="K8" s="50" t="n">
        <x:v>0</x:v>
      </x:c>
      <x:c r="L8" s="50" t="n">
        <x:v>0</x:v>
      </x:c>
      <x:c r="M8" s="50" t="str">
        <x:v>[판매처]</x:v>
      </x:c>
      <x:c r="N8" s="53"/>
      <x:c r="O8" s="53"/>
      <x:c r="P8" s="50" t="str">
        <x:v>[조건]</x:v>
      </x:c>
    </x:row>
    <x:row r="9">
      <x:c r="A9" s="50" t="n">
        <x:v>5</x:v>
      </x:c>
      <x:c r="B9" s="50" t="str">
        <x:v>방수·타일</x:v>
      </x:c>
      <x:c r="C9" s="50" t="str">
        <x:v>[세부 작업]</x:v>
      </x:c>
      <x:c r="D9" s="50" t="str">
        <x:v>목공</x:v>
      </x:c>
      <x:c r="E9" s="53"/>
      <x:c r="F9" s="53"/>
      <x:c r="G9" s="50" t="str">
        <x:v>[시간]</x:v>
      </x:c>
      <x:c r="H9" s="50" t="str">
        <x:v>[담당]</x:v>
      </x:c>
      <x:c r="I9" s="50" t="str">
        <x:v>예정</x:v>
      </x:c>
      <x:c r="J9" s="50" t="str">
        <x:v>[자재]</x:v>
      </x:c>
      <x:c r="K9" s="50" t="n">
        <x:v>0</x:v>
      </x:c>
      <x:c r="L9" s="50" t="n">
        <x:v>0</x:v>
      </x:c>
      <x:c r="M9" s="50" t="str">
        <x:v>[판매처]</x:v>
      </x:c>
      <x:c r="N9" s="53"/>
      <x:c r="O9" s="53"/>
      <x:c r="P9" s="50" t="str">
        <x:v>[조건]</x:v>
      </x:c>
    </x:row>
    <x:row r="10">
      <x:c r="A10" s="50" t="n">
        <x:v>6</x:v>
      </x:c>
      <x:c r="B10" s="50" t="str">
        <x:v>도장·필름</x:v>
      </x:c>
      <x:c r="C10" s="50" t="str">
        <x:v>[세부 작업]</x:v>
      </x:c>
      <x:c r="D10" s="50" t="str">
        <x:v>방수·타일</x:v>
      </x:c>
      <x:c r="E10" s="53"/>
      <x:c r="F10" s="53"/>
      <x:c r="G10" s="50" t="str">
        <x:v>[시간]</x:v>
      </x:c>
      <x:c r="H10" s="50" t="str">
        <x:v>[담당]</x:v>
      </x:c>
      <x:c r="I10" s="50" t="str">
        <x:v>예정</x:v>
      </x:c>
      <x:c r="J10" s="50" t="str">
        <x:v>[자재]</x:v>
      </x:c>
      <x:c r="K10" s="50" t="n">
        <x:v>0</x:v>
      </x:c>
      <x:c r="L10" s="50" t="n">
        <x:v>0</x:v>
      </x:c>
      <x:c r="M10" s="50" t="str">
        <x:v>[판매처]</x:v>
      </x:c>
      <x:c r="N10" s="53"/>
      <x:c r="O10" s="53"/>
      <x:c r="P10" s="50" t="str">
        <x:v>[조건]</x:v>
      </x:c>
    </x:row>
    <x:row r="11">
      <x:c r="A11" s="50" t="n">
        <x:v>7</x:v>
      </x:c>
      <x:c r="B11" s="50" t="str">
        <x:v>바닥·도배</x:v>
      </x:c>
      <x:c r="C11" s="50" t="str">
        <x:v>[세부 작업]</x:v>
      </x:c>
      <x:c r="D11" s="50" t="str">
        <x:v>도장·필름</x:v>
      </x:c>
      <x:c r="E11" s="53"/>
      <x:c r="F11" s="53"/>
      <x:c r="G11" s="50" t="str">
        <x:v>[시간]</x:v>
      </x:c>
      <x:c r="H11" s="50" t="str">
        <x:v>[담당]</x:v>
      </x:c>
      <x:c r="I11" s="50" t="str">
        <x:v>예정</x:v>
      </x:c>
      <x:c r="J11" s="50" t="str">
        <x:v>[자재]</x:v>
      </x:c>
      <x:c r="K11" s="50" t="n">
        <x:v>0</x:v>
      </x:c>
      <x:c r="L11" s="50" t="n">
        <x:v>0</x:v>
      </x:c>
      <x:c r="M11" s="50" t="str">
        <x:v>[판매처]</x:v>
      </x:c>
      <x:c r="N11" s="53"/>
      <x:c r="O11" s="53"/>
      <x:c r="P11" s="50" t="str">
        <x:v>[조건]</x:v>
      </x:c>
    </x:row>
    <x:row r="12">
      <x:c r="A12" s="50" t="n">
        <x:v>8</x:v>
      </x:c>
      <x:c r="B12" s="50" t="str">
        <x:v>가구</x:v>
      </x:c>
      <x:c r="C12" s="50" t="str">
        <x:v>[세부 작업]</x:v>
      </x:c>
      <x:c r="D12" s="50" t="str">
        <x:v>바닥·도배</x:v>
      </x:c>
      <x:c r="E12" s="53"/>
      <x:c r="F12" s="53"/>
      <x:c r="G12" s="50" t="str">
        <x:v>[시간]</x:v>
      </x:c>
      <x:c r="H12" s="50" t="str">
        <x:v>[담당]</x:v>
      </x:c>
      <x:c r="I12" s="50" t="str">
        <x:v>예정</x:v>
      </x:c>
      <x:c r="J12" s="50" t="str">
        <x:v>[자재]</x:v>
      </x:c>
      <x:c r="K12" s="50" t="n">
        <x:v>0</x:v>
      </x:c>
      <x:c r="L12" s="50" t="n">
        <x:v>0</x:v>
      </x:c>
      <x:c r="M12" s="50" t="str">
        <x:v>[판매처]</x:v>
      </x:c>
      <x:c r="N12" s="53"/>
      <x:c r="O12" s="53"/>
      <x:c r="P12" s="50" t="str">
        <x:v>[조건]</x:v>
      </x:c>
    </x:row>
    <x:row r="13">
      <x:c r="A13" s="50" t="n">
        <x:v>9</x:v>
      </x:c>
      <x:c r="B13" s="50" t="str">
        <x:v>조명·기구</x:v>
      </x:c>
      <x:c r="C13" s="50" t="str">
        <x:v>[세부 작업]</x:v>
      </x:c>
      <x:c r="D13" s="50" t="str">
        <x:v>가구</x:v>
      </x:c>
      <x:c r="E13" s="53"/>
      <x:c r="F13" s="53"/>
      <x:c r="G13" s="50" t="str">
        <x:v>[시간]</x:v>
      </x:c>
      <x:c r="H13" s="50" t="str">
        <x:v>[담당]</x:v>
      </x:c>
      <x:c r="I13" s="50" t="str">
        <x:v>예정</x:v>
      </x:c>
      <x:c r="J13" s="50" t="str">
        <x:v>[자재]</x:v>
      </x:c>
      <x:c r="K13" s="50" t="n">
        <x:v>0</x:v>
      </x:c>
      <x:c r="L13" s="50" t="n">
        <x:v>0</x:v>
      </x:c>
      <x:c r="M13" s="50" t="str">
        <x:v>[판매처]</x:v>
      </x:c>
      <x:c r="N13" s="53"/>
      <x:c r="O13" s="53"/>
      <x:c r="P13" s="50" t="str">
        <x:v>[조건]</x:v>
      </x:c>
    </x:row>
    <x:row r="14">
      <x:c r="A14" s="50" t="n">
        <x:v>10</x:v>
      </x:c>
      <x:c r="B14" s="50" t="str">
        <x:v>청소·검수</x:v>
      </x:c>
      <x:c r="C14" s="50" t="str">
        <x:v>[세부 작업]</x:v>
      </x:c>
      <x:c r="D14" s="50" t="str">
        <x:v>조명·기구</x:v>
      </x:c>
      <x:c r="E14" s="53"/>
      <x:c r="F14" s="53"/>
      <x:c r="G14" s="50" t="str">
        <x:v>[시간]</x:v>
      </x:c>
      <x:c r="H14" s="50" t="str">
        <x:v>[담당]</x:v>
      </x:c>
      <x:c r="I14" s="50" t="str">
        <x:v>예정</x:v>
      </x:c>
      <x:c r="J14" s="50" t="str">
        <x:v>[자재]</x:v>
      </x:c>
      <x:c r="K14" s="50" t="n">
        <x:v>0</x:v>
      </x:c>
      <x:c r="L14" s="50" t="n">
        <x:v>0</x:v>
      </x:c>
      <x:c r="M14" s="50" t="str">
        <x:v>[판매처]</x:v>
      </x:c>
      <x:c r="N14" s="53"/>
      <x:c r="O14" s="53"/>
      <x:c r="P14" s="50" t="str">
        <x:v>[조건]</x:v>
      </x:c>
    </x:row>
    <x:row r="15">
      <x:c r="A15" s="50"/>
      <x:c r="B15" s="50"/>
      <x:c r="C15" s="50"/>
      <x:c r="D15" s="50"/>
      <x:c r="E15" s="53"/>
      <x:c r="F15" s="53"/>
      <x:c r="G15" s="50"/>
      <x:c r="H15" s="50"/>
      <x:c r="I15" s="50"/>
      <x:c r="J15" s="50"/>
      <x:c r="K15" s="50"/>
      <x:c r="L15" s="50"/>
      <x:c r="M15" s="50"/>
      <x:c r="N15" s="53"/>
      <x:c r="O15" s="53"/>
      <x:c r="P15" s="50"/>
    </x:row>
    <x:row r="16">
      <x:c r="A16" s="50"/>
      <x:c r="B16" s="50"/>
      <x:c r="C16" s="50"/>
      <x:c r="D16" s="50"/>
      <x:c r="E16" s="53"/>
      <x:c r="F16" s="53"/>
      <x:c r="G16" s="50"/>
      <x:c r="H16" s="50"/>
      <x:c r="I16" s="50"/>
      <x:c r="J16" s="50"/>
      <x:c r="K16" s="50"/>
      <x:c r="L16" s="50"/>
      <x:c r="M16" s="50"/>
      <x:c r="N16" s="53"/>
      <x:c r="O16" s="53"/>
      <x:c r="P16" s="50"/>
    </x:row>
    <x:row r="17">
      <x:c r="A17" s="50"/>
      <x:c r="B17" s="50"/>
      <x:c r="C17" s="50"/>
      <x:c r="D17" s="50"/>
      <x:c r="E17" s="53"/>
      <x:c r="F17" s="53"/>
      <x:c r="G17" s="50"/>
      <x:c r="H17" s="50"/>
      <x:c r="I17" s="50"/>
      <x:c r="J17" s="50"/>
      <x:c r="K17" s="50"/>
      <x:c r="L17" s="50"/>
      <x:c r="M17" s="50"/>
      <x:c r="N17" s="53"/>
      <x:c r="O17" s="53"/>
      <x:c r="P17" s="50"/>
    </x:row>
    <x:row r="18">
      <x:c r="A18" s="50"/>
      <x:c r="B18" s="50"/>
      <x:c r="C18" s="50"/>
      <x:c r="D18" s="50"/>
      <x:c r="E18" s="53"/>
      <x:c r="F18" s="53"/>
      <x:c r="G18" s="50"/>
      <x:c r="H18" s="50"/>
      <x:c r="I18" s="50"/>
      <x:c r="J18" s="50"/>
      <x:c r="K18" s="50"/>
      <x:c r="L18" s="50"/>
      <x:c r="M18" s="50"/>
      <x:c r="N18" s="53"/>
      <x:c r="O18" s="53"/>
      <x:c r="P18" s="50"/>
    </x:row>
    <x:row r="19">
      <x:c r="A19" s="50"/>
      <x:c r="B19" s="50"/>
      <x:c r="C19" s="50"/>
      <x:c r="D19" s="50"/>
      <x:c r="E19" s="53"/>
      <x:c r="F19" s="53"/>
      <x:c r="G19" s="50"/>
      <x:c r="H19" s="50"/>
      <x:c r="I19" s="50"/>
      <x:c r="J19" s="50"/>
      <x:c r="K19" s="50"/>
      <x:c r="L19" s="50"/>
      <x:c r="M19" s="50"/>
      <x:c r="N19" s="53"/>
      <x:c r="O19" s="53"/>
      <x:c r="P19" s="50"/>
    </x:row>
    <x:row r="20">
      <x:c r="A20" s="50"/>
      <x:c r="B20" s="50"/>
      <x:c r="C20" s="50"/>
      <x:c r="D20" s="50"/>
      <x:c r="E20" s="53"/>
      <x:c r="F20" s="53"/>
      <x:c r="G20" s="50"/>
      <x:c r="H20" s="50"/>
      <x:c r="I20" s="50"/>
      <x:c r="J20" s="50"/>
      <x:c r="K20" s="50"/>
      <x:c r="L20" s="50"/>
      <x:c r="M20" s="50"/>
      <x:c r="N20" s="53"/>
      <x:c r="O20" s="53"/>
      <x:c r="P20" s="50"/>
    </x:row>
    <x:row r="21">
      <x:c r="A21" s="50"/>
      <x:c r="B21" s="50"/>
      <x:c r="C21" s="50"/>
      <x:c r="D21" s="50"/>
      <x:c r="E21" s="53"/>
      <x:c r="F21" s="53"/>
      <x:c r="G21" s="50"/>
      <x:c r="H21" s="50"/>
      <x:c r="I21" s="50"/>
      <x:c r="J21" s="50"/>
      <x:c r="K21" s="50"/>
      <x:c r="L21" s="50"/>
      <x:c r="M21" s="50"/>
      <x:c r="N21" s="53"/>
      <x:c r="O21" s="53"/>
      <x:c r="P21" s="50"/>
    </x:row>
    <x:row r="22">
      <x:c r="A22" s="50"/>
      <x:c r="B22" s="50"/>
      <x:c r="C22" s="50"/>
      <x:c r="D22" s="50"/>
      <x:c r="E22" s="53"/>
      <x:c r="F22" s="53"/>
      <x:c r="G22" s="50"/>
      <x:c r="H22" s="50"/>
      <x:c r="I22" s="50"/>
      <x:c r="J22" s="50"/>
      <x:c r="K22" s="50"/>
      <x:c r="L22" s="50"/>
      <x:c r="M22" s="50"/>
      <x:c r="N22" s="53"/>
      <x:c r="O22" s="53"/>
      <x:c r="P22" s="50"/>
    </x:row>
    <x:row r="23">
      <x:c r="A23" s="50"/>
      <x:c r="B23" s="50"/>
      <x:c r="C23" s="50"/>
      <x:c r="D23" s="50"/>
      <x:c r="E23" s="53"/>
      <x:c r="F23" s="53"/>
      <x:c r="G23" s="50"/>
      <x:c r="H23" s="50"/>
      <x:c r="I23" s="50"/>
      <x:c r="J23" s="50"/>
      <x:c r="K23" s="50"/>
      <x:c r="L23" s="50"/>
      <x:c r="M23" s="50"/>
      <x:c r="N23" s="53"/>
      <x:c r="O23" s="53"/>
      <x:c r="P23" s="50"/>
    </x:row>
    <x:row r="24">
      <x:c r="A24" s="50"/>
      <x:c r="B24" s="50"/>
      <x:c r="C24" s="50"/>
      <x:c r="D24" s="50"/>
      <x:c r="E24" s="53"/>
      <x:c r="F24" s="53"/>
      <x:c r="G24" s="50"/>
      <x:c r="H24" s="50"/>
      <x:c r="I24" s="50"/>
      <x:c r="J24" s="50"/>
      <x:c r="K24" s="50"/>
      <x:c r="L24" s="50"/>
      <x:c r="M24" s="50"/>
      <x:c r="N24" s="53"/>
      <x:c r="O24" s="53"/>
      <x:c r="P24" s="50"/>
    </x:row>
    <x:row r="25">
      <x:c r="A25" s="50"/>
      <x:c r="B25" s="50"/>
      <x:c r="C25" s="50"/>
      <x:c r="D25" s="50"/>
      <x:c r="E25" s="53"/>
      <x:c r="F25" s="53"/>
      <x:c r="G25" s="50"/>
      <x:c r="H25" s="50"/>
      <x:c r="I25" s="50"/>
      <x:c r="J25" s="50"/>
      <x:c r="K25" s="50"/>
      <x:c r="L25" s="50"/>
      <x:c r="M25" s="50"/>
      <x:c r="N25" s="53"/>
      <x:c r="O25" s="53"/>
      <x:c r="P25" s="50"/>
    </x:row>
    <x:row r="26">
      <x:c r="A26" s="50"/>
      <x:c r="B26" s="50"/>
      <x:c r="C26" s="50"/>
      <x:c r="D26" s="50"/>
      <x:c r="E26" s="53"/>
      <x:c r="F26" s="53"/>
      <x:c r="G26" s="50"/>
      <x:c r="H26" s="50"/>
      <x:c r="I26" s="50"/>
      <x:c r="J26" s="50"/>
      <x:c r="K26" s="50"/>
      <x:c r="L26" s="50"/>
      <x:c r="M26" s="50"/>
      <x:c r="N26" s="53"/>
      <x:c r="O26" s="53"/>
      <x:c r="P26" s="50"/>
    </x:row>
    <x:row r="27">
      <x:c r="A27" s="50"/>
      <x:c r="B27" s="50"/>
      <x:c r="C27" s="50"/>
      <x:c r="D27" s="50"/>
      <x:c r="E27" s="53"/>
      <x:c r="F27" s="53"/>
      <x:c r="G27" s="50"/>
      <x:c r="H27" s="50"/>
      <x:c r="I27" s="50"/>
      <x:c r="J27" s="50"/>
      <x:c r="K27" s="50"/>
      <x:c r="L27" s="50"/>
      <x:c r="M27" s="50"/>
      <x:c r="N27" s="53"/>
      <x:c r="O27" s="53"/>
      <x:c r="P27" s="50"/>
    </x:row>
    <x:row r="28">
      <x:c r="A28" s="50"/>
      <x:c r="B28" s="50"/>
      <x:c r="C28" s="50"/>
      <x:c r="D28" s="50"/>
      <x:c r="E28" s="53"/>
      <x:c r="F28" s="53"/>
      <x:c r="G28" s="50"/>
      <x:c r="H28" s="50"/>
      <x:c r="I28" s="50"/>
      <x:c r="J28" s="50"/>
      <x:c r="K28" s="50"/>
      <x:c r="L28" s="50"/>
      <x:c r="M28" s="50"/>
      <x:c r="N28" s="53"/>
      <x:c r="O28" s="53"/>
      <x:c r="P28" s="50"/>
    </x:row>
    <x:row r="29">
      <x:c r="A29" s="50"/>
      <x:c r="B29" s="50"/>
      <x:c r="C29" s="50"/>
      <x:c r="D29" s="50"/>
      <x:c r="E29" s="53"/>
      <x:c r="F29" s="53"/>
      <x:c r="G29" s="50"/>
      <x:c r="H29" s="50"/>
      <x:c r="I29" s="50"/>
      <x:c r="J29" s="50"/>
      <x:c r="K29" s="50"/>
      <x:c r="L29" s="50"/>
      <x:c r="M29" s="50"/>
      <x:c r="N29" s="53"/>
      <x:c r="O29" s="53"/>
      <x:c r="P29" s="50"/>
    </x:row>
    <x:row r="30">
      <x:c r="A30" s="50"/>
      <x:c r="B30" s="50"/>
      <x:c r="C30" s="50"/>
      <x:c r="D30" s="50"/>
      <x:c r="E30" s="53"/>
      <x:c r="F30" s="53"/>
      <x:c r="G30" s="50"/>
      <x:c r="H30" s="50"/>
      <x:c r="I30" s="50"/>
      <x:c r="J30" s="50"/>
      <x:c r="K30" s="50"/>
      <x:c r="L30" s="50"/>
      <x:c r="M30" s="50"/>
      <x:c r="N30" s="53"/>
      <x:c r="O30" s="53"/>
      <x:c r="P30" s="50"/>
    </x:row>
    <x:row r="31">
      <x:c r="A31" s="50"/>
      <x:c r="B31" s="50"/>
      <x:c r="C31" s="50"/>
      <x:c r="D31" s="50"/>
      <x:c r="E31" s="53"/>
      <x:c r="F31" s="53"/>
      <x:c r="G31" s="50"/>
      <x:c r="H31" s="50"/>
      <x:c r="I31" s="50"/>
      <x:c r="J31" s="50"/>
      <x:c r="K31" s="50"/>
      <x:c r="L31" s="50"/>
      <x:c r="M31" s="50"/>
      <x:c r="N31" s="53"/>
      <x:c r="O31" s="53"/>
      <x:c r="P31" s="50"/>
    </x:row>
    <x:row r="32">
      <x:c r="A32" s="50"/>
      <x:c r="B32" s="50"/>
      <x:c r="C32" s="50"/>
      <x:c r="D32" s="50"/>
      <x:c r="E32" s="53"/>
      <x:c r="F32" s="53"/>
      <x:c r="G32" s="50"/>
      <x:c r="H32" s="50"/>
      <x:c r="I32" s="50"/>
      <x:c r="J32" s="50"/>
      <x:c r="K32" s="50"/>
      <x:c r="L32" s="50"/>
      <x:c r="M32" s="50"/>
      <x:c r="N32" s="53"/>
      <x:c r="O32" s="53"/>
      <x:c r="P32" s="50"/>
    </x:row>
    <x:row r="33">
      <x:c r="A33" s="50"/>
      <x:c r="B33" s="50"/>
      <x:c r="C33" s="50"/>
      <x:c r="D33" s="50"/>
      <x:c r="E33" s="53"/>
      <x:c r="F33" s="53"/>
      <x:c r="G33" s="50"/>
      <x:c r="H33" s="50"/>
      <x:c r="I33" s="50"/>
      <x:c r="J33" s="50"/>
      <x:c r="K33" s="50"/>
      <x:c r="L33" s="50"/>
      <x:c r="M33" s="50"/>
      <x:c r="N33" s="53"/>
      <x:c r="O33" s="53"/>
      <x:c r="P33" s="50"/>
    </x:row>
    <x:row r="34">
      <x:c r="A34" s="50"/>
      <x:c r="B34" s="50"/>
      <x:c r="C34" s="50"/>
      <x:c r="D34" s="50"/>
      <x:c r="E34" s="53"/>
      <x:c r="F34" s="53"/>
      <x:c r="G34" s="50"/>
      <x:c r="H34" s="50"/>
      <x:c r="I34" s="50"/>
      <x:c r="J34" s="50"/>
      <x:c r="K34" s="50"/>
      <x:c r="L34" s="50"/>
      <x:c r="M34" s="50"/>
      <x:c r="N34" s="53"/>
      <x:c r="O34" s="53"/>
      <x:c r="P34" s="50"/>
    </x:row>
    <x:row r="35">
      <x:c r="A35" s="50"/>
      <x:c r="B35" s="50"/>
      <x:c r="C35" s="50"/>
      <x:c r="D35" s="50"/>
      <x:c r="E35" s="53"/>
      <x:c r="F35" s="53"/>
      <x:c r="G35" s="50"/>
      <x:c r="H35" s="50"/>
      <x:c r="I35" s="50"/>
      <x:c r="J35" s="50"/>
      <x:c r="K35" s="50"/>
      <x:c r="L35" s="50"/>
      <x:c r="M35" s="50"/>
      <x:c r="N35" s="53"/>
      <x:c r="O35" s="53"/>
      <x:c r="P35" s="50"/>
    </x:row>
    <x:row r="36">
      <x:c r="A36" s="50"/>
      <x:c r="B36" s="50"/>
      <x:c r="C36" s="50"/>
      <x:c r="D36" s="50"/>
      <x:c r="E36" s="53"/>
      <x:c r="F36" s="53"/>
      <x:c r="G36" s="50"/>
      <x:c r="H36" s="50"/>
      <x:c r="I36" s="50"/>
      <x:c r="J36" s="50"/>
      <x:c r="K36" s="50"/>
      <x:c r="L36" s="50"/>
      <x:c r="M36" s="50"/>
      <x:c r="N36" s="53"/>
      <x:c r="O36" s="53"/>
      <x:c r="P36" s="50"/>
    </x:row>
    <x:row r="37">
      <x:c r="A37" s="50"/>
      <x:c r="B37" s="50"/>
      <x:c r="C37" s="50"/>
      <x:c r="D37" s="50"/>
      <x:c r="E37" s="53"/>
      <x:c r="F37" s="53"/>
      <x:c r="G37" s="50"/>
      <x:c r="H37" s="50"/>
      <x:c r="I37" s="50"/>
      <x:c r="J37" s="50"/>
      <x:c r="K37" s="50"/>
      <x:c r="L37" s="50"/>
      <x:c r="M37" s="50"/>
      <x:c r="N37" s="53"/>
      <x:c r="O37" s="53"/>
      <x:c r="P37" s="50"/>
    </x:row>
    <x:row r="38">
      <x:c r="A38" s="50"/>
      <x:c r="B38" s="50"/>
      <x:c r="C38" s="50"/>
      <x:c r="D38" s="50"/>
      <x:c r="E38" s="53"/>
      <x:c r="F38" s="53"/>
      <x:c r="G38" s="50"/>
      <x:c r="H38" s="50"/>
      <x:c r="I38" s="50"/>
      <x:c r="J38" s="50"/>
      <x:c r="K38" s="50"/>
      <x:c r="L38" s="50"/>
      <x:c r="M38" s="50"/>
      <x:c r="N38" s="53"/>
      <x:c r="O38" s="53"/>
      <x:c r="P38" s="50"/>
    </x:row>
    <x:row r="39">
      <x:c r="A39" s="50"/>
      <x:c r="B39" s="50"/>
      <x:c r="C39" s="50"/>
      <x:c r="D39" s="50"/>
      <x:c r="E39" s="53"/>
      <x:c r="F39" s="53"/>
      <x:c r="G39" s="50"/>
      <x:c r="H39" s="50"/>
      <x:c r="I39" s="50"/>
      <x:c r="J39" s="50"/>
      <x:c r="K39" s="50"/>
      <x:c r="L39" s="50"/>
      <x:c r="M39" s="50"/>
      <x:c r="N39" s="53"/>
      <x:c r="O39" s="53"/>
      <x:c r="P39" s="50"/>
    </x:row>
    <x:row r="40">
      <x:c r="A40" s="50"/>
      <x:c r="B40" s="50"/>
      <x:c r="C40" s="50"/>
      <x:c r="D40" s="50"/>
      <x:c r="E40" s="53"/>
      <x:c r="F40" s="53"/>
      <x:c r="G40" s="50"/>
      <x:c r="H40" s="50"/>
      <x:c r="I40" s="50"/>
      <x:c r="J40" s="50"/>
      <x:c r="K40" s="50"/>
      <x:c r="L40" s="50"/>
      <x:c r="M40" s="50"/>
      <x:c r="N40" s="53"/>
      <x:c r="O40" s="53"/>
      <x:c r="P40" s="50"/>
    </x:row>
    <x:row r="41">
      <x:c r="A41" s="50"/>
      <x:c r="B41" s="50"/>
      <x:c r="C41" s="50"/>
      <x:c r="D41" s="50"/>
      <x:c r="E41" s="53"/>
      <x:c r="F41" s="53"/>
      <x:c r="G41" s="50"/>
      <x:c r="H41" s="50"/>
      <x:c r="I41" s="50"/>
      <x:c r="J41" s="50"/>
      <x:c r="K41" s="50"/>
      <x:c r="L41" s="50"/>
      <x:c r="M41" s="50"/>
      <x:c r="N41" s="53"/>
      <x:c r="O41" s="53"/>
      <x:c r="P41" s="50"/>
    </x:row>
    <x:row r="42">
      <x:c r="A42" s="50"/>
      <x:c r="B42" s="50"/>
      <x:c r="C42" s="50"/>
      <x:c r="D42" s="50"/>
      <x:c r="E42" s="53"/>
      <x:c r="F42" s="53"/>
      <x:c r="G42" s="50"/>
      <x:c r="H42" s="50"/>
      <x:c r="I42" s="50"/>
      <x:c r="J42" s="50"/>
      <x:c r="K42" s="50"/>
      <x:c r="L42" s="50"/>
      <x:c r="M42" s="50"/>
      <x:c r="N42" s="53"/>
      <x:c r="O42" s="53"/>
      <x:c r="P42" s="50"/>
    </x:row>
    <x:row r="43">
      <x:c r="A43" s="50"/>
      <x:c r="B43" s="50"/>
      <x:c r="C43" s="50"/>
      <x:c r="D43" s="50"/>
      <x:c r="E43" s="53"/>
      <x:c r="F43" s="53"/>
      <x:c r="G43" s="50"/>
      <x:c r="H43" s="50"/>
      <x:c r="I43" s="50"/>
      <x:c r="J43" s="50"/>
      <x:c r="K43" s="50"/>
      <x:c r="L43" s="50"/>
      <x:c r="M43" s="50"/>
      <x:c r="N43" s="53"/>
      <x:c r="O43" s="53"/>
      <x:c r="P43" s="50"/>
    </x:row>
    <x:row r="44">
      <x:c r="A44" s="50"/>
      <x:c r="B44" s="50"/>
      <x:c r="C44" s="50"/>
      <x:c r="D44" s="50"/>
      <x:c r="E44" s="53"/>
      <x:c r="F44" s="53"/>
      <x:c r="G44" s="50"/>
      <x:c r="H44" s="50"/>
      <x:c r="I44" s="50"/>
      <x:c r="J44" s="50"/>
      <x:c r="K44" s="50"/>
      <x:c r="L44" s="50"/>
      <x:c r="M44" s="50"/>
      <x:c r="N44" s="53"/>
      <x:c r="O44" s="53"/>
      <x:c r="P44" s="50"/>
    </x:row>
    <x:row r="45">
      <x:c r="A45" s="50"/>
      <x:c r="B45" s="50"/>
      <x:c r="C45" s="50"/>
      <x:c r="D45" s="50"/>
      <x:c r="E45" s="53"/>
      <x:c r="F45" s="53"/>
      <x:c r="G45" s="50"/>
      <x:c r="H45" s="50"/>
      <x:c r="I45" s="50"/>
      <x:c r="J45" s="50"/>
      <x:c r="K45" s="50"/>
      <x:c r="L45" s="50"/>
      <x:c r="M45" s="50"/>
      <x:c r="N45" s="53"/>
      <x:c r="O45" s="53"/>
      <x:c r="P45" s="50"/>
    </x:row>
    <x:row r="46">
      <x:c r="A46" s="50"/>
      <x:c r="B46" s="50"/>
      <x:c r="C46" s="50"/>
      <x:c r="D46" s="50"/>
      <x:c r="E46" s="53"/>
      <x:c r="F46" s="53"/>
      <x:c r="G46" s="50"/>
      <x:c r="H46" s="50"/>
      <x:c r="I46" s="50"/>
      <x:c r="J46" s="50"/>
      <x:c r="K46" s="50"/>
      <x:c r="L46" s="50"/>
      <x:c r="M46" s="50"/>
      <x:c r="N46" s="53"/>
      <x:c r="O46" s="53"/>
      <x:c r="P46" s="50"/>
    </x:row>
    <x:row r="47">
      <x:c r="A47" s="50"/>
      <x:c r="B47" s="50"/>
      <x:c r="C47" s="50"/>
      <x:c r="D47" s="50"/>
      <x:c r="E47" s="53"/>
      <x:c r="F47" s="53"/>
      <x:c r="G47" s="50"/>
      <x:c r="H47" s="50"/>
      <x:c r="I47" s="50"/>
      <x:c r="J47" s="50"/>
      <x:c r="K47" s="50"/>
      <x:c r="L47" s="50"/>
      <x:c r="M47" s="50"/>
      <x:c r="N47" s="53"/>
      <x:c r="O47" s="53"/>
      <x:c r="P47" s="50"/>
    </x:row>
    <x:row r="48">
      <x:c r="A48" s="50"/>
      <x:c r="B48" s="50"/>
      <x:c r="C48" s="50"/>
      <x:c r="D48" s="50"/>
      <x:c r="E48" s="53"/>
      <x:c r="F48" s="53"/>
      <x:c r="G48" s="50"/>
      <x:c r="H48" s="50"/>
      <x:c r="I48" s="50"/>
      <x:c r="J48" s="50"/>
      <x:c r="K48" s="50"/>
      <x:c r="L48" s="50"/>
      <x:c r="M48" s="50"/>
      <x:c r="N48" s="53"/>
      <x:c r="O48" s="53"/>
      <x:c r="P48" s="50"/>
    </x:row>
    <x:row r="49">
      <x:c r="A49" s="50"/>
      <x:c r="B49" s="50"/>
      <x:c r="C49" s="50"/>
      <x:c r="D49" s="50"/>
      <x:c r="E49" s="53"/>
      <x:c r="F49" s="53"/>
      <x:c r="G49" s="50"/>
      <x:c r="H49" s="50"/>
      <x:c r="I49" s="50"/>
      <x:c r="J49" s="50"/>
      <x:c r="K49" s="50"/>
      <x:c r="L49" s="50"/>
      <x:c r="M49" s="50"/>
      <x:c r="N49" s="53"/>
      <x:c r="O49" s="53"/>
      <x:c r="P49" s="50"/>
    </x:row>
    <x:row r="50">
      <x:c r="A50" s="50"/>
      <x:c r="B50" s="50"/>
      <x:c r="C50" s="50"/>
      <x:c r="D50" s="50"/>
      <x:c r="E50" s="53"/>
      <x:c r="F50" s="53"/>
      <x:c r="G50" s="50"/>
      <x:c r="H50" s="50"/>
      <x:c r="I50" s="50"/>
      <x:c r="J50" s="50"/>
      <x:c r="K50" s="50"/>
      <x:c r="L50" s="50"/>
      <x:c r="M50" s="50"/>
      <x:c r="N50" s="53"/>
      <x:c r="O50" s="53"/>
      <x:c r="P50" s="50"/>
    </x:row>
    <x:row r="51">
      <x:c r="A51" s="50"/>
      <x:c r="B51" s="50"/>
      <x:c r="C51" s="50"/>
      <x:c r="D51" s="50"/>
      <x:c r="E51" s="53"/>
      <x:c r="F51" s="53"/>
      <x:c r="G51" s="50"/>
      <x:c r="H51" s="50"/>
      <x:c r="I51" s="50"/>
      <x:c r="J51" s="50"/>
      <x:c r="K51" s="50"/>
      <x:c r="L51" s="50"/>
      <x:c r="M51" s="50"/>
      <x:c r="N51" s="53"/>
      <x:c r="O51" s="53"/>
      <x:c r="P51" s="50"/>
    </x:row>
    <x:row r="52">
      <x:c r="A52" s="50"/>
      <x:c r="B52" s="50"/>
      <x:c r="C52" s="50"/>
      <x:c r="D52" s="50"/>
      <x:c r="E52" s="53"/>
      <x:c r="F52" s="53"/>
      <x:c r="G52" s="50"/>
      <x:c r="H52" s="50"/>
      <x:c r="I52" s="50"/>
      <x:c r="J52" s="50"/>
      <x:c r="K52" s="50"/>
      <x:c r="L52" s="50"/>
      <x:c r="M52" s="50"/>
      <x:c r="N52" s="53"/>
      <x:c r="O52" s="53"/>
      <x:c r="P52" s="50"/>
    </x:row>
    <x:row r="53">
      <x:c r="A53" s="50"/>
      <x:c r="B53" s="50"/>
      <x:c r="C53" s="50"/>
      <x:c r="D53" s="50"/>
      <x:c r="E53" s="53"/>
      <x:c r="F53" s="53"/>
      <x:c r="G53" s="50"/>
      <x:c r="H53" s="50"/>
      <x:c r="I53" s="50"/>
      <x:c r="J53" s="50"/>
      <x:c r="K53" s="50"/>
      <x:c r="L53" s="50"/>
      <x:c r="M53" s="50"/>
      <x:c r="N53" s="53"/>
      <x:c r="O53" s="53"/>
      <x:c r="P53" s="50"/>
    </x:row>
    <x:row r="54">
      <x:c r="A54" s="50"/>
      <x:c r="B54" s="50"/>
      <x:c r="C54" s="50"/>
      <x:c r="D54" s="50"/>
      <x:c r="E54" s="53"/>
      <x:c r="F54" s="53"/>
      <x:c r="G54" s="50"/>
      <x:c r="H54" s="50"/>
      <x:c r="I54" s="50"/>
      <x:c r="J54" s="50"/>
      <x:c r="K54" s="50"/>
      <x:c r="L54" s="50"/>
      <x:c r="M54" s="50"/>
      <x:c r="N54" s="53"/>
      <x:c r="O54" s="53"/>
      <x:c r="P54" s="50"/>
    </x:row>
    <x:row r="55">
      <x:c r="A55" s="50"/>
      <x:c r="B55" s="50"/>
      <x:c r="C55" s="50"/>
      <x:c r="D55" s="50"/>
      <x:c r="E55" s="53"/>
      <x:c r="F55" s="53"/>
      <x:c r="G55" s="50"/>
      <x:c r="H55" s="50"/>
      <x:c r="I55" s="50"/>
      <x:c r="J55" s="50"/>
      <x:c r="K55" s="50"/>
      <x:c r="L55" s="50"/>
      <x:c r="M55" s="50"/>
      <x:c r="N55" s="53"/>
      <x:c r="O55" s="53"/>
      <x:c r="P55" s="50"/>
    </x:row>
    <x:row r="56">
      <x:c r="A56" s="50"/>
      <x:c r="B56" s="50"/>
      <x:c r="C56" s="50"/>
      <x:c r="D56" s="50"/>
      <x:c r="E56" s="53"/>
      <x:c r="F56" s="53"/>
      <x:c r="G56" s="50"/>
      <x:c r="H56" s="50"/>
      <x:c r="I56" s="50"/>
      <x:c r="J56" s="50"/>
      <x:c r="K56" s="50"/>
      <x:c r="L56" s="50"/>
      <x:c r="M56" s="50"/>
      <x:c r="N56" s="53"/>
      <x:c r="O56" s="53"/>
      <x:c r="P56" s="50"/>
    </x:row>
    <x:row r="57">
      <x:c r="A57" s="50"/>
      <x:c r="B57" s="50"/>
      <x:c r="C57" s="50"/>
      <x:c r="D57" s="50"/>
      <x:c r="E57" s="53"/>
      <x:c r="F57" s="53"/>
      <x:c r="G57" s="50"/>
      <x:c r="H57" s="50"/>
      <x:c r="I57" s="50"/>
      <x:c r="J57" s="50"/>
      <x:c r="K57" s="50"/>
      <x:c r="L57" s="50"/>
      <x:c r="M57" s="50"/>
      <x:c r="N57" s="53"/>
      <x:c r="O57" s="53"/>
      <x:c r="P57" s="50"/>
    </x:row>
    <x:row r="58">
      <x:c r="A58" s="50"/>
      <x:c r="B58" s="50"/>
      <x:c r="C58" s="50"/>
      <x:c r="D58" s="50"/>
      <x:c r="E58" s="53"/>
      <x:c r="F58" s="53"/>
      <x:c r="G58" s="50"/>
      <x:c r="H58" s="50"/>
      <x:c r="I58" s="50"/>
      <x:c r="J58" s="50"/>
      <x:c r="K58" s="50"/>
      <x:c r="L58" s="50"/>
      <x:c r="M58" s="50"/>
      <x:c r="N58" s="53"/>
      <x:c r="O58" s="53"/>
      <x:c r="P58" s="50"/>
    </x:row>
    <x:row r="59">
      <x:c r="A59" s="50"/>
      <x:c r="B59" s="50"/>
      <x:c r="C59" s="50"/>
      <x:c r="D59" s="50"/>
      <x:c r="E59" s="53"/>
      <x:c r="F59" s="53"/>
      <x:c r="G59" s="50"/>
      <x:c r="H59" s="50"/>
      <x:c r="I59" s="50"/>
      <x:c r="J59" s="50"/>
      <x:c r="K59" s="50"/>
      <x:c r="L59" s="50"/>
      <x:c r="M59" s="50"/>
      <x:c r="N59" s="53"/>
      <x:c r="O59" s="53"/>
      <x:c r="P59" s="50"/>
    </x:row>
    <x:row r="60">
      <x:c r="A60" s="50"/>
      <x:c r="B60" s="50"/>
      <x:c r="C60" s="50"/>
      <x:c r="D60" s="50"/>
      <x:c r="E60" s="53"/>
      <x:c r="F60" s="53"/>
      <x:c r="G60" s="50"/>
      <x:c r="H60" s="50"/>
      <x:c r="I60" s="50"/>
      <x:c r="J60" s="50"/>
      <x:c r="K60" s="50"/>
      <x:c r="L60" s="50"/>
      <x:c r="M60" s="50"/>
      <x:c r="N60" s="53"/>
      <x:c r="O60" s="53"/>
      <x:c r="P60" s="50"/>
    </x:row>
    <x:row r="61">
      <x:c r="A61" s="50"/>
      <x:c r="B61" s="50"/>
      <x:c r="C61" s="50"/>
      <x:c r="D61" s="50"/>
      <x:c r="E61" s="53"/>
      <x:c r="F61" s="53"/>
      <x:c r="G61" s="50"/>
      <x:c r="H61" s="50"/>
      <x:c r="I61" s="50"/>
      <x:c r="J61" s="50"/>
      <x:c r="K61" s="50"/>
      <x:c r="L61" s="50"/>
      <x:c r="M61" s="50"/>
      <x:c r="N61" s="53"/>
      <x:c r="O61" s="53"/>
      <x:c r="P61" s="50"/>
    </x:row>
    <x:row r="62">
      <x:c r="A62" s="50"/>
      <x:c r="B62" s="50"/>
      <x:c r="C62" s="50"/>
      <x:c r="D62" s="50"/>
      <x:c r="E62" s="53"/>
      <x:c r="F62" s="53"/>
      <x:c r="G62" s="50"/>
      <x:c r="H62" s="50"/>
      <x:c r="I62" s="50"/>
      <x:c r="J62" s="50"/>
      <x:c r="K62" s="50"/>
      <x:c r="L62" s="50"/>
      <x:c r="M62" s="50"/>
      <x:c r="N62" s="53"/>
      <x:c r="O62" s="53"/>
      <x:c r="P62" s="50"/>
    </x:row>
    <x:row r="63">
      <x:c r="A63" s="50"/>
      <x:c r="B63" s="50"/>
      <x:c r="C63" s="50"/>
      <x:c r="D63" s="50"/>
      <x:c r="E63" s="53"/>
      <x:c r="F63" s="53"/>
      <x:c r="G63" s="50"/>
      <x:c r="H63" s="50"/>
      <x:c r="I63" s="50"/>
      <x:c r="J63" s="50"/>
      <x:c r="K63" s="50"/>
      <x:c r="L63" s="50"/>
      <x:c r="M63" s="50"/>
      <x:c r="N63" s="53"/>
      <x:c r="O63" s="53"/>
      <x:c r="P63" s="50"/>
    </x:row>
    <x:row r="64">
      <x:c r="A64" s="50"/>
      <x:c r="B64" s="50"/>
      <x:c r="C64" s="50"/>
      <x:c r="D64" s="50"/>
      <x:c r="E64" s="53"/>
      <x:c r="F64" s="53"/>
      <x:c r="G64" s="50"/>
      <x:c r="H64" s="50"/>
      <x:c r="I64" s="50"/>
      <x:c r="J64" s="50"/>
      <x:c r="K64" s="50"/>
      <x:c r="L64" s="50"/>
      <x:c r="M64" s="50"/>
      <x:c r="N64" s="53"/>
      <x:c r="O64" s="53"/>
      <x:c r="P64" s="50"/>
    </x:row>
    <x:row r="65">
      <x:c r="A65" s="50"/>
      <x:c r="B65" s="50"/>
      <x:c r="C65" s="50"/>
      <x:c r="D65" s="50"/>
      <x:c r="E65" s="53"/>
      <x:c r="F65" s="53"/>
      <x:c r="G65" s="50"/>
      <x:c r="H65" s="50"/>
      <x:c r="I65" s="50"/>
      <x:c r="J65" s="50"/>
      <x:c r="K65" s="50"/>
      <x:c r="L65" s="50"/>
      <x:c r="M65" s="50"/>
      <x:c r="N65" s="53"/>
      <x:c r="O65" s="53"/>
      <x:c r="P65" s="50"/>
    </x:row>
    <x:row r="66">
      <x:c r="A66" s="50"/>
      <x:c r="B66" s="50"/>
      <x:c r="C66" s="50"/>
      <x:c r="D66" s="50"/>
      <x:c r="E66" s="53"/>
      <x:c r="F66" s="53"/>
      <x:c r="G66" s="50"/>
      <x:c r="H66" s="50"/>
      <x:c r="I66" s="50"/>
      <x:c r="J66" s="50"/>
      <x:c r="K66" s="50"/>
      <x:c r="L66" s="50"/>
      <x:c r="M66" s="50"/>
      <x:c r="N66" s="53"/>
      <x:c r="O66" s="53"/>
      <x:c r="P66" s="50"/>
    </x:row>
    <x:row r="67">
      <x:c r="A67" s="50"/>
      <x:c r="B67" s="50"/>
      <x:c r="C67" s="50"/>
      <x:c r="D67" s="50"/>
      <x:c r="E67" s="53"/>
      <x:c r="F67" s="53"/>
      <x:c r="G67" s="50"/>
      <x:c r="H67" s="50"/>
      <x:c r="I67" s="50"/>
      <x:c r="J67" s="50"/>
      <x:c r="K67" s="50"/>
      <x:c r="L67" s="50"/>
      <x:c r="M67" s="50"/>
      <x:c r="N67" s="53"/>
      <x:c r="O67" s="53"/>
      <x:c r="P67" s="50"/>
    </x:row>
    <x:row r="68">
      <x:c r="A68" s="50"/>
      <x:c r="B68" s="50"/>
      <x:c r="C68" s="50"/>
      <x:c r="D68" s="50"/>
      <x:c r="E68" s="53"/>
      <x:c r="F68" s="53"/>
      <x:c r="G68" s="50"/>
      <x:c r="H68" s="50"/>
      <x:c r="I68" s="50"/>
      <x:c r="J68" s="50"/>
      <x:c r="K68" s="50"/>
      <x:c r="L68" s="50"/>
      <x:c r="M68" s="50"/>
      <x:c r="N68" s="53"/>
      <x:c r="O68" s="53"/>
      <x:c r="P68" s="50"/>
    </x:row>
    <x:row r="69">
      <x:c r="A69" s="50"/>
      <x:c r="B69" s="50"/>
      <x:c r="C69" s="50"/>
      <x:c r="D69" s="50"/>
      <x:c r="E69" s="53"/>
      <x:c r="F69" s="53"/>
      <x:c r="G69" s="50"/>
      <x:c r="H69" s="50"/>
      <x:c r="I69" s="50"/>
      <x:c r="J69" s="50"/>
      <x:c r="K69" s="50"/>
      <x:c r="L69" s="50"/>
      <x:c r="M69" s="50"/>
      <x:c r="N69" s="53"/>
      <x:c r="O69" s="53"/>
      <x:c r="P69" s="50"/>
    </x:row>
    <x:row r="70">
      <x:c r="A70" s="50"/>
      <x:c r="B70" s="50"/>
      <x:c r="C70" s="50"/>
      <x:c r="D70" s="50"/>
      <x:c r="E70" s="53"/>
      <x:c r="F70" s="53"/>
      <x:c r="G70" s="50"/>
      <x:c r="H70" s="50"/>
      <x:c r="I70" s="50"/>
      <x:c r="J70" s="50"/>
      <x:c r="K70" s="50"/>
      <x:c r="L70" s="50"/>
      <x:c r="M70" s="50"/>
      <x:c r="N70" s="53"/>
      <x:c r="O70" s="53"/>
      <x:c r="P70" s="50"/>
    </x:row>
    <x:row r="71">
      <x:c r="A71" s="50"/>
      <x:c r="B71" s="50"/>
      <x:c r="C71" s="50"/>
      <x:c r="D71" s="50"/>
      <x:c r="E71" s="53"/>
      <x:c r="F71" s="53"/>
      <x:c r="G71" s="50"/>
      <x:c r="H71" s="50"/>
      <x:c r="I71" s="50"/>
      <x:c r="J71" s="50"/>
      <x:c r="K71" s="50"/>
      <x:c r="L71" s="50"/>
      <x:c r="M71" s="50"/>
      <x:c r="N71" s="53"/>
      <x:c r="O71" s="53"/>
      <x:c r="P71" s="50"/>
    </x:row>
    <x:row r="72">
      <x:c r="A72" s="50"/>
      <x:c r="B72" s="50"/>
      <x:c r="C72" s="50"/>
      <x:c r="D72" s="50"/>
      <x:c r="E72" s="53"/>
      <x:c r="F72" s="53"/>
      <x:c r="G72" s="50"/>
      <x:c r="H72" s="50"/>
      <x:c r="I72" s="50"/>
      <x:c r="J72" s="50"/>
      <x:c r="K72" s="50"/>
      <x:c r="L72" s="50"/>
      <x:c r="M72" s="50"/>
      <x:c r="N72" s="53"/>
      <x:c r="O72" s="53"/>
      <x:c r="P72" s="50"/>
    </x:row>
    <x:row r="73">
      <x:c r="A73" s="50"/>
      <x:c r="B73" s="50"/>
      <x:c r="C73" s="50"/>
      <x:c r="D73" s="50"/>
      <x:c r="E73" s="53"/>
      <x:c r="F73" s="53"/>
      <x:c r="G73" s="50"/>
      <x:c r="H73" s="50"/>
      <x:c r="I73" s="50"/>
      <x:c r="J73" s="50"/>
      <x:c r="K73" s="50"/>
      <x:c r="L73" s="50"/>
      <x:c r="M73" s="50"/>
      <x:c r="N73" s="53"/>
      <x:c r="O73" s="53"/>
      <x:c r="P73" s="50"/>
    </x:row>
    <x:row r="74">
      <x:c r="A74" s="50"/>
      <x:c r="B74" s="50"/>
      <x:c r="C74" s="50"/>
      <x:c r="D74" s="50"/>
      <x:c r="E74" s="53"/>
      <x:c r="F74" s="53"/>
      <x:c r="G74" s="50"/>
      <x:c r="H74" s="50"/>
      <x:c r="I74" s="50"/>
      <x:c r="J74" s="50"/>
      <x:c r="K74" s="50"/>
      <x:c r="L74" s="50"/>
      <x:c r="M74" s="50"/>
      <x:c r="N74" s="53"/>
      <x:c r="O74" s="53"/>
      <x:c r="P74" s="50"/>
    </x:row>
    <x:row r="75">
      <x:c r="A75" s="50"/>
      <x:c r="B75" s="50"/>
      <x:c r="C75" s="50"/>
      <x:c r="D75" s="50"/>
      <x:c r="E75" s="53"/>
      <x:c r="F75" s="53"/>
      <x:c r="G75" s="50"/>
      <x:c r="H75" s="50"/>
      <x:c r="I75" s="50"/>
      <x:c r="J75" s="50"/>
      <x:c r="K75" s="50"/>
      <x:c r="L75" s="50"/>
      <x:c r="M75" s="50"/>
      <x:c r="N75" s="53"/>
      <x:c r="O75" s="53"/>
      <x:c r="P75" s="50"/>
    </x:row>
    <x:row r="76">
      <x:c r="A76" s="50"/>
      <x:c r="B76" s="50"/>
      <x:c r="C76" s="50"/>
      <x:c r="D76" s="50"/>
      <x:c r="E76" s="53"/>
      <x:c r="F76" s="53"/>
      <x:c r="G76" s="50"/>
      <x:c r="H76" s="50"/>
      <x:c r="I76" s="50"/>
      <x:c r="J76" s="50"/>
      <x:c r="K76" s="50"/>
      <x:c r="L76" s="50"/>
      <x:c r="M76" s="50"/>
      <x:c r="N76" s="53"/>
      <x:c r="O76" s="53"/>
      <x:c r="P76" s="50"/>
    </x:row>
    <x:row r="77">
      <x:c r="A77" s="50"/>
      <x:c r="B77" s="50"/>
      <x:c r="C77" s="50"/>
      <x:c r="D77" s="50"/>
      <x:c r="E77" s="53"/>
      <x:c r="F77" s="53"/>
      <x:c r="G77" s="50"/>
      <x:c r="H77" s="50"/>
      <x:c r="I77" s="50"/>
      <x:c r="J77" s="50"/>
      <x:c r="K77" s="50"/>
      <x:c r="L77" s="50"/>
      <x:c r="M77" s="50"/>
      <x:c r="N77" s="53"/>
      <x:c r="O77" s="53"/>
      <x:c r="P77" s="50"/>
    </x:row>
    <x:row r="78">
      <x:c r="A78" s="50"/>
      <x:c r="B78" s="50"/>
      <x:c r="C78" s="50"/>
      <x:c r="D78" s="50"/>
      <x:c r="E78" s="53"/>
      <x:c r="F78" s="53"/>
      <x:c r="G78" s="50"/>
      <x:c r="H78" s="50"/>
      <x:c r="I78" s="50"/>
      <x:c r="J78" s="50"/>
      <x:c r="K78" s="50"/>
      <x:c r="L78" s="50"/>
      <x:c r="M78" s="50"/>
      <x:c r="N78" s="53"/>
      <x:c r="O78" s="53"/>
      <x:c r="P78" s="50"/>
    </x:row>
    <x:row r="79">
      <x:c r="A79" s="50"/>
      <x:c r="B79" s="50"/>
      <x:c r="C79" s="50"/>
      <x:c r="D79" s="50"/>
      <x:c r="E79" s="53"/>
      <x:c r="F79" s="53"/>
      <x:c r="G79" s="50"/>
      <x:c r="H79" s="50"/>
      <x:c r="I79" s="50"/>
      <x:c r="J79" s="50"/>
      <x:c r="K79" s="50"/>
      <x:c r="L79" s="50"/>
      <x:c r="M79" s="50"/>
      <x:c r="N79" s="53"/>
      <x:c r="O79" s="53"/>
      <x:c r="P79" s="50"/>
    </x:row>
    <x:row r="80">
      <x:c r="A80" s="50"/>
      <x:c r="B80" s="50"/>
      <x:c r="C80" s="50"/>
      <x:c r="D80" s="50"/>
      <x:c r="E80" s="53"/>
      <x:c r="F80" s="53"/>
      <x:c r="G80" s="50"/>
      <x:c r="H80" s="50"/>
      <x:c r="I80" s="50"/>
      <x:c r="J80" s="50"/>
      <x:c r="K80" s="50"/>
      <x:c r="L80" s="50"/>
      <x:c r="M80" s="50"/>
      <x:c r="N80" s="53"/>
      <x:c r="O80" s="53"/>
      <x:c r="P80" s="50"/>
    </x:row>
    <x:row r="81">
      <x:c r="A81" s="50"/>
      <x:c r="B81" s="50"/>
      <x:c r="C81" s="50"/>
      <x:c r="D81" s="50"/>
      <x:c r="E81" s="53"/>
      <x:c r="F81" s="53"/>
      <x:c r="G81" s="50"/>
      <x:c r="H81" s="50"/>
      <x:c r="I81" s="50"/>
      <x:c r="J81" s="50"/>
      <x:c r="K81" s="50"/>
      <x:c r="L81" s="50"/>
      <x:c r="M81" s="50"/>
      <x:c r="N81" s="53"/>
      <x:c r="O81" s="53"/>
      <x:c r="P81" s="50"/>
    </x:row>
    <x:row r="82">
      <x:c r="A82" s="50"/>
      <x:c r="B82" s="50"/>
      <x:c r="C82" s="50"/>
      <x:c r="D82" s="50"/>
      <x:c r="E82" s="53"/>
      <x:c r="F82" s="53"/>
      <x:c r="G82" s="50"/>
      <x:c r="H82" s="50"/>
      <x:c r="I82" s="50"/>
      <x:c r="J82" s="50"/>
      <x:c r="K82" s="50"/>
      <x:c r="L82" s="50"/>
      <x:c r="M82" s="50"/>
      <x:c r="N82" s="53"/>
      <x:c r="O82" s="53"/>
      <x:c r="P82" s="50"/>
    </x:row>
    <x:row r="83">
      <x:c r="A83" s="50"/>
      <x:c r="B83" s="50"/>
      <x:c r="C83" s="50"/>
      <x:c r="D83" s="50"/>
      <x:c r="E83" s="53"/>
      <x:c r="F83" s="53"/>
      <x:c r="G83" s="50"/>
      <x:c r="H83" s="50"/>
      <x:c r="I83" s="50"/>
      <x:c r="J83" s="50"/>
      <x:c r="K83" s="50"/>
      <x:c r="L83" s="50"/>
      <x:c r="M83" s="50"/>
      <x:c r="N83" s="53"/>
      <x:c r="O83" s="53"/>
      <x:c r="P83" s="50"/>
    </x:row>
    <x:row r="84">
      <x:c r="A84" s="50"/>
      <x:c r="B84" s="50"/>
      <x:c r="C84" s="50"/>
      <x:c r="D84" s="50"/>
      <x:c r="E84" s="53"/>
      <x:c r="F84" s="53"/>
      <x:c r="G84" s="50"/>
      <x:c r="H84" s="50"/>
      <x:c r="I84" s="50"/>
      <x:c r="J84" s="50"/>
      <x:c r="K84" s="50"/>
      <x:c r="L84" s="50"/>
      <x:c r="M84" s="50"/>
      <x:c r="N84" s="53"/>
      <x:c r="O84" s="53"/>
      <x:c r="P84" s="50"/>
    </x:row>
    <x:row r="85">
      <x:c r="A85" s="50"/>
      <x:c r="B85" s="50"/>
      <x:c r="C85" s="50"/>
      <x:c r="D85" s="50"/>
      <x:c r="E85" s="53"/>
      <x:c r="F85" s="53"/>
      <x:c r="G85" s="50"/>
      <x:c r="H85" s="50"/>
      <x:c r="I85" s="50"/>
      <x:c r="J85" s="50"/>
      <x:c r="K85" s="50"/>
      <x:c r="L85" s="50"/>
      <x:c r="M85" s="50"/>
      <x:c r="N85" s="53"/>
      <x:c r="O85" s="53"/>
      <x:c r="P85" s="50"/>
    </x:row>
    <x:row r="86">
      <x:c r="A86" s="50"/>
      <x:c r="B86" s="50"/>
      <x:c r="C86" s="50"/>
      <x:c r="D86" s="50"/>
      <x:c r="E86" s="53"/>
      <x:c r="F86" s="53"/>
      <x:c r="G86" s="50"/>
      <x:c r="H86" s="50"/>
      <x:c r="I86" s="50"/>
      <x:c r="J86" s="50"/>
      <x:c r="K86" s="50"/>
      <x:c r="L86" s="50"/>
      <x:c r="M86" s="50"/>
      <x:c r="N86" s="53"/>
      <x:c r="O86" s="53"/>
      <x:c r="P86" s="50"/>
    </x:row>
    <x:row r="87">
      <x:c r="A87" s="50"/>
      <x:c r="B87" s="50"/>
      <x:c r="C87" s="50"/>
      <x:c r="D87" s="50"/>
      <x:c r="E87" s="53"/>
      <x:c r="F87" s="53"/>
      <x:c r="G87" s="50"/>
      <x:c r="H87" s="50"/>
      <x:c r="I87" s="50"/>
      <x:c r="J87" s="50"/>
      <x:c r="K87" s="50"/>
      <x:c r="L87" s="50"/>
      <x:c r="M87" s="50"/>
      <x:c r="N87" s="53"/>
      <x:c r="O87" s="53"/>
      <x:c r="P87" s="50"/>
    </x:row>
    <x:row r="88">
      <x:c r="A88" s="50"/>
      <x:c r="B88" s="50"/>
      <x:c r="C88" s="50"/>
      <x:c r="D88" s="50"/>
      <x:c r="E88" s="53"/>
      <x:c r="F88" s="53"/>
      <x:c r="G88" s="50"/>
      <x:c r="H88" s="50"/>
      <x:c r="I88" s="50"/>
      <x:c r="J88" s="50"/>
      <x:c r="K88" s="50"/>
      <x:c r="L88" s="50"/>
      <x:c r="M88" s="50"/>
      <x:c r="N88" s="53"/>
      <x:c r="O88" s="53"/>
      <x:c r="P88" s="50"/>
    </x:row>
    <x:row r="89">
      <x:c r="A89" s="50"/>
      <x:c r="B89" s="50"/>
      <x:c r="C89" s="50"/>
      <x:c r="D89" s="50"/>
      <x:c r="E89" s="53"/>
      <x:c r="F89" s="53"/>
      <x:c r="G89" s="50"/>
      <x:c r="H89" s="50"/>
      <x:c r="I89" s="50"/>
      <x:c r="J89" s="50"/>
      <x:c r="K89" s="50"/>
      <x:c r="L89" s="50"/>
      <x:c r="M89" s="50"/>
      <x:c r="N89" s="53"/>
      <x:c r="O89" s="53"/>
      <x:c r="P89" s="50"/>
    </x:row>
    <x:row r="90">
      <x:c r="A90" s="50"/>
      <x:c r="B90" s="50"/>
      <x:c r="C90" s="50"/>
      <x:c r="D90" s="50"/>
      <x:c r="E90" s="53"/>
      <x:c r="F90" s="53"/>
      <x:c r="G90" s="50"/>
      <x:c r="H90" s="50"/>
      <x:c r="I90" s="50"/>
      <x:c r="J90" s="50"/>
      <x:c r="K90" s="50"/>
      <x:c r="L90" s="50"/>
      <x:c r="M90" s="50"/>
      <x:c r="N90" s="53"/>
      <x:c r="O90" s="53"/>
      <x:c r="P90" s="50"/>
    </x:row>
    <x:row r="91">
      <x:c r="A91" s="50"/>
      <x:c r="B91" s="50"/>
      <x:c r="C91" s="50"/>
      <x:c r="D91" s="50"/>
      <x:c r="E91" s="53"/>
      <x:c r="F91" s="53"/>
      <x:c r="G91" s="50"/>
      <x:c r="H91" s="50"/>
      <x:c r="I91" s="50"/>
      <x:c r="J91" s="50"/>
      <x:c r="K91" s="50"/>
      <x:c r="L91" s="50"/>
      <x:c r="M91" s="50"/>
      <x:c r="N91" s="53"/>
      <x:c r="O91" s="53"/>
      <x:c r="P91" s="50"/>
    </x:row>
    <x:row r="92">
      <x:c r="A92" s="50"/>
      <x:c r="B92" s="50"/>
      <x:c r="C92" s="50"/>
      <x:c r="D92" s="50"/>
      <x:c r="E92" s="53"/>
      <x:c r="F92" s="53"/>
      <x:c r="G92" s="50"/>
      <x:c r="H92" s="50"/>
      <x:c r="I92" s="50"/>
      <x:c r="J92" s="50"/>
      <x:c r="K92" s="50"/>
      <x:c r="L92" s="50"/>
      <x:c r="M92" s="50"/>
      <x:c r="N92" s="53"/>
      <x:c r="O92" s="53"/>
      <x:c r="P92" s="50"/>
    </x:row>
    <x:row r="93">
      <x:c r="A93" s="50"/>
      <x:c r="B93" s="50"/>
      <x:c r="C93" s="50"/>
      <x:c r="D93" s="50"/>
      <x:c r="E93" s="53"/>
      <x:c r="F93" s="53"/>
      <x:c r="G93" s="50"/>
      <x:c r="H93" s="50"/>
      <x:c r="I93" s="50"/>
      <x:c r="J93" s="50"/>
      <x:c r="K93" s="50"/>
      <x:c r="L93" s="50"/>
      <x:c r="M93" s="50"/>
      <x:c r="N93" s="53"/>
      <x:c r="O93" s="53"/>
      <x:c r="P93" s="50"/>
    </x:row>
    <x:row r="94">
      <x:c r="A94" s="50"/>
      <x:c r="B94" s="50"/>
      <x:c r="C94" s="50"/>
      <x:c r="D94" s="50"/>
      <x:c r="E94" s="53"/>
      <x:c r="F94" s="53"/>
      <x:c r="G94" s="50"/>
      <x:c r="H94" s="50"/>
      <x:c r="I94" s="50"/>
      <x:c r="J94" s="50"/>
      <x:c r="K94" s="50"/>
      <x:c r="L94" s="50"/>
      <x:c r="M94" s="50"/>
      <x:c r="N94" s="53"/>
      <x:c r="O94" s="53"/>
      <x:c r="P94" s="50"/>
    </x:row>
    <x:row r="95">
      <x:c r="A95" s="50"/>
      <x:c r="B95" s="50"/>
      <x:c r="C95" s="50"/>
      <x:c r="D95" s="50"/>
      <x:c r="E95" s="53"/>
      <x:c r="F95" s="53"/>
      <x:c r="G95" s="50"/>
      <x:c r="H95" s="50"/>
      <x:c r="I95" s="50"/>
      <x:c r="J95" s="50"/>
      <x:c r="K95" s="50"/>
      <x:c r="L95" s="50"/>
      <x:c r="M95" s="50"/>
      <x:c r="N95" s="53"/>
      <x:c r="O95" s="53"/>
      <x:c r="P95" s="50"/>
    </x:row>
    <x:row r="96">
      <x:c r="A96" s="50"/>
      <x:c r="B96" s="50"/>
      <x:c r="C96" s="50"/>
      <x:c r="D96" s="50"/>
      <x:c r="E96" s="53"/>
      <x:c r="F96" s="53"/>
      <x:c r="G96" s="50"/>
      <x:c r="H96" s="50"/>
      <x:c r="I96" s="50"/>
      <x:c r="J96" s="50"/>
      <x:c r="K96" s="50"/>
      <x:c r="L96" s="50"/>
      <x:c r="M96" s="50"/>
      <x:c r="N96" s="53"/>
      <x:c r="O96" s="53"/>
      <x:c r="P96" s="50"/>
    </x:row>
    <x:row r="97">
      <x:c r="A97" s="50"/>
      <x:c r="B97" s="50"/>
      <x:c r="C97" s="50"/>
      <x:c r="D97" s="50"/>
      <x:c r="E97" s="53"/>
      <x:c r="F97" s="53"/>
      <x:c r="G97" s="50"/>
      <x:c r="H97" s="50"/>
      <x:c r="I97" s="50"/>
      <x:c r="J97" s="50"/>
      <x:c r="K97" s="50"/>
      <x:c r="L97" s="50"/>
      <x:c r="M97" s="50"/>
      <x:c r="N97" s="53"/>
      <x:c r="O97" s="53"/>
      <x:c r="P97" s="50"/>
    </x:row>
    <x:row r="98">
      <x:c r="A98" s="50"/>
      <x:c r="B98" s="50"/>
      <x:c r="C98" s="50"/>
      <x:c r="D98" s="50"/>
      <x:c r="E98" s="53"/>
      <x:c r="F98" s="53"/>
      <x:c r="G98" s="50"/>
      <x:c r="H98" s="50"/>
      <x:c r="I98" s="50"/>
      <x:c r="J98" s="50"/>
      <x:c r="K98" s="50"/>
      <x:c r="L98" s="50"/>
      <x:c r="M98" s="50"/>
      <x:c r="N98" s="53"/>
      <x:c r="O98" s="53"/>
      <x:c r="P98" s="50"/>
    </x:row>
    <x:row r="99">
      <x:c r="A99" s="50"/>
      <x:c r="B99" s="50"/>
      <x:c r="C99" s="50"/>
      <x:c r="D99" s="50"/>
      <x:c r="E99" s="53"/>
      <x:c r="F99" s="53"/>
      <x:c r="G99" s="50"/>
      <x:c r="H99" s="50"/>
      <x:c r="I99" s="50"/>
      <x:c r="J99" s="50"/>
      <x:c r="K99" s="50"/>
      <x:c r="L99" s="50"/>
      <x:c r="M99" s="50"/>
      <x:c r="N99" s="53"/>
      <x:c r="O99" s="53"/>
      <x:c r="P99" s="50"/>
    </x:row>
    <x:row r="100">
      <x:c r="A100" s="50"/>
      <x:c r="B100" s="50"/>
      <x:c r="C100" s="50"/>
      <x:c r="D100" s="50"/>
      <x:c r="E100" s="53"/>
      <x:c r="F100" s="53"/>
      <x:c r="G100" s="50"/>
      <x:c r="H100" s="50"/>
      <x:c r="I100" s="50"/>
      <x:c r="J100" s="50"/>
      <x:c r="K100" s="50"/>
      <x:c r="L100" s="50"/>
      <x:c r="M100" s="50"/>
      <x:c r="N100" s="53"/>
      <x:c r="O100" s="53"/>
      <x:c r="P100" s="50"/>
    </x:row>
    <x:row r="101">
      <x:c r="A101" s="50"/>
      <x:c r="B101" s="50"/>
      <x:c r="C101" s="50"/>
      <x:c r="D101" s="50"/>
      <x:c r="E101" s="53"/>
      <x:c r="F101" s="53"/>
      <x:c r="G101" s="50"/>
      <x:c r="H101" s="50"/>
      <x:c r="I101" s="50"/>
      <x:c r="J101" s="50"/>
      <x:c r="K101" s="50"/>
      <x:c r="L101" s="50"/>
      <x:c r="M101" s="50"/>
      <x:c r="N101" s="53"/>
      <x:c r="O101" s="53"/>
      <x:c r="P101" s="50"/>
    </x:row>
    <x:row r="102">
      <x:c r="A102" s="50"/>
      <x:c r="B102" s="50"/>
      <x:c r="C102" s="50"/>
      <x:c r="D102" s="50"/>
      <x:c r="E102" s="53"/>
      <x:c r="F102" s="53"/>
      <x:c r="G102" s="50"/>
      <x:c r="H102" s="50"/>
      <x:c r="I102" s="50"/>
      <x:c r="J102" s="50"/>
      <x:c r="K102" s="50"/>
      <x:c r="L102" s="50"/>
      <x:c r="M102" s="50"/>
      <x:c r="N102" s="53"/>
      <x:c r="O102" s="53"/>
      <x:c r="P102" s="50"/>
    </x:row>
    <x:row r="103">
      <x:c r="A103" s="50"/>
      <x:c r="B103" s="50"/>
      <x:c r="C103" s="50"/>
      <x:c r="D103" s="50"/>
      <x:c r="E103" s="53"/>
      <x:c r="F103" s="53"/>
      <x:c r="G103" s="50"/>
      <x:c r="H103" s="50"/>
      <x:c r="I103" s="50"/>
      <x:c r="J103" s="50"/>
      <x:c r="K103" s="50"/>
      <x:c r="L103" s="50"/>
      <x:c r="M103" s="50"/>
      <x:c r="N103" s="53"/>
      <x:c r="O103" s="53"/>
      <x:c r="P103" s="50"/>
    </x:row>
    <x:row r="104">
      <x:c r="A104" s="50"/>
      <x:c r="B104" s="50"/>
      <x:c r="C104" s="50"/>
      <x:c r="D104" s="50"/>
      <x:c r="E104" s="53"/>
      <x:c r="F104" s="53"/>
      <x:c r="G104" s="50"/>
      <x:c r="H104" s="50"/>
      <x:c r="I104" s="50"/>
      <x:c r="J104" s="50"/>
      <x:c r="K104" s="50"/>
      <x:c r="L104" s="50"/>
      <x:c r="M104" s="50"/>
      <x:c r="N104" s="53"/>
      <x:c r="O104" s="53"/>
      <x:c r="P104" s="50"/>
    </x:row>
  </x:sheetData>
  <x:mergeCells>
    <x:mergeCell ref="A1:P1"/>
    <x:mergeCell ref="A2:P2"/>
  </x:mergeCells>
  <x:dataValidations count="1">
    <x:dataValidation type="list" sqref="I5:I104">
      <x:formula1>"예정,진행,대기,완료,보류"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30" hidden="0" customWidth="1"/>
    <x:col min="5" max="5" width="14" hidden="0" customWidth="1"/>
    <x:col min="6" max="6" width="32" hidden="0" customWidth="1"/>
    <x:col min="7" max="7" width="14" hidden="0" customWidth="1"/>
    <x:col min="8" max="8" width="13" hidden="0" customWidth="1"/>
    <x:col min="9" max="9" width="14" hidden="0" customWidth="1"/>
    <x:col min="10" max="10" width="14" hidden="0" customWidth="1"/>
    <x:col min="11" max="11" width="12" hidden="0" customWidth="1"/>
    <x:col min="12" max="12" width="28" hidden="0" customWidth="1"/>
  </x:cols>
  <x:sheetData>
    <x:row r="1" ht="34" customHeight="1">
      <x:c r="A1" s="3" t="str">
        <x:v>07 | 변경·검수·A/S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구두 변경을 피하고 증감액·승인·보수 완료를 사진과 함께 기록합니다.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5" customHeight="1">
      <x:c r="A4" s="16" t="str">
        <x:v>구분</x:v>
      </x:c>
      <x:c r="B4" s="17" t="str">
        <x:v>공간</x:v>
      </x:c>
      <x:c r="C4" s="17" t="str">
        <x:v>공정</x:v>
      </x:c>
      <x:c r="D4" s="17" t="str">
        <x:v>변경·검수 항목</x:v>
      </x:c>
      <x:c r="E4" s="17" t="str">
        <x:v>발견·요청일</x:v>
      </x:c>
      <x:c r="F4" s="17" t="str">
        <x:v>변경 이유/검수 기준</x:v>
      </x:c>
      <x:c r="G4" s="17" t="str">
        <x:v>증감액</x:v>
      </x:c>
      <x:c r="H4" s="17" t="str">
        <x:v>승인 상태</x:v>
      </x:c>
      <x:c r="I4" s="17" t="str">
        <x:v>승인자</x:v>
      </x:c>
      <x:c r="J4" s="17" t="str">
        <x:v>완료 예정</x:v>
      </x:c>
      <x:c r="K4" s="17" t="str">
        <x:v>완료 상태</x:v>
      </x:c>
      <x:c r="L4" s="18" t="str">
        <x:v>사진·A/S 근거</x:v>
      </x:c>
    </x:row>
    <x:row r="5">
      <x:c r="A5" s="50" t="str">
        <x:v>변경</x:v>
      </x:c>
      <x:c r="B5" s="50" t="str">
        <x:v>[공간]</x:v>
      </x:c>
      <x:c r="C5" s="50" t="str">
        <x:v>[공정]</x:v>
      </x:c>
      <x:c r="D5" s="50" t="str">
        <x:v>[변경 내용]</x:v>
      </x:c>
      <x:c r="E5" s="53"/>
      <x:c r="F5" s="50" t="str">
        <x:v>[사유]</x:v>
      </x:c>
      <x:c r="G5" s="54" t="n">
        <x:v>0</x:v>
      </x:c>
      <x:c r="H5" s="50" t="str">
        <x:v>미승인</x:v>
      </x:c>
      <x:c r="I5" s="50" t="str">
        <x:v>[승인자]</x:v>
      </x:c>
      <x:c r="J5" s="53"/>
      <x:c r="K5" s="50" t="str">
        <x:v>대기</x:v>
      </x:c>
      <x:c r="L5" s="50" t="str">
        <x:v>[사진]</x:v>
      </x:c>
    </x:row>
    <x:row r="6">
      <x:c r="A6" s="50" t="str">
        <x:v>중간검수</x:v>
      </x:c>
      <x:c r="B6" s="50" t="str">
        <x:v>욕실</x:v>
      </x:c>
      <x:c r="C6" s="50" t="str">
        <x:v>타일</x:v>
      </x:c>
      <x:c r="D6" s="50" t="str">
        <x:v>배수 구배·줄눈·모서리</x:v>
      </x:c>
      <x:c r="E6" s="53"/>
      <x:c r="F6" s="50" t="str">
        <x:v>물 고임과 들뜸 확인</x:v>
      </x:c>
      <x:c r="G6" s="54" t="n">
        <x:v>0</x:v>
      </x:c>
      <x:c r="H6" s="50" t="str">
        <x:v>해당없음</x:v>
      </x:c>
      <x:c r="I6" s="50" t="str"/>
      <x:c r="J6" s="53"/>
      <x:c r="K6" s="50" t="str">
        <x:v>대기</x:v>
      </x:c>
      <x:c r="L6" s="50" t="str">
        <x:v>[사진]</x:v>
      </x:c>
    </x:row>
    <x:row r="7">
      <x:c r="A7" s="50" t="str">
        <x:v>준공검수</x:v>
      </x:c>
      <x:c r="B7" s="50" t="str">
        <x:v>욕실</x:v>
      </x:c>
      <x:c r="C7" s="50" t="str">
        <x:v>설비</x:v>
      </x:c>
      <x:c r="D7" s="50" t="str">
        <x:v>급수·배수·실리콘·누수</x:v>
      </x:c>
      <x:c r="E7" s="53"/>
      <x:c r="F7" s="50" t="str">
        <x:v>작동과 누수 확인</x:v>
      </x:c>
      <x:c r="G7" s="54" t="n">
        <x:v>0</x:v>
      </x:c>
      <x:c r="H7" s="50" t="str">
        <x:v>해당없음</x:v>
      </x:c>
      <x:c r="I7" s="50" t="str"/>
      <x:c r="J7" s="53"/>
      <x:c r="K7" s="50" t="str">
        <x:v>대기</x:v>
      </x:c>
      <x:c r="L7" s="50" t="str">
        <x:v>[사진]</x:v>
      </x:c>
    </x:row>
    <x:row r="8">
      <x:c r="A8" s="50" t="str">
        <x:v>준공검수</x:v>
      </x:c>
      <x:c r="B8" s="50" t="str">
        <x:v>전체</x:v>
      </x:c>
      <x:c r="C8" s="50" t="str">
        <x:v>전기</x:v>
      </x:c>
      <x:c r="D8" s="50" t="str">
        <x:v>콘센트·스위치·조명 회로</x:v>
      </x:c>
      <x:c r="E8" s="53"/>
      <x:c r="F8" s="50" t="str">
        <x:v>작동과 회로 확인</x:v>
      </x:c>
      <x:c r="G8" s="54" t="n">
        <x:v>0</x:v>
      </x:c>
      <x:c r="H8" s="50" t="str">
        <x:v>해당없음</x:v>
      </x:c>
      <x:c r="I8" s="50" t="str"/>
      <x:c r="J8" s="53"/>
      <x:c r="K8" s="50" t="str">
        <x:v>대기</x:v>
      </x:c>
      <x:c r="L8" s="50" t="str">
        <x:v>[사진]</x:v>
      </x:c>
    </x:row>
    <x:row r="9">
      <x:c r="A9" s="50" t="str">
        <x:v>준공검수</x:v>
      </x:c>
      <x:c r="B9" s="50" t="str">
        <x:v>거실</x:v>
      </x:c>
      <x:c r="C9" s="50" t="str">
        <x:v>도배</x:v>
      </x:c>
      <x:c r="D9" s="50" t="str">
        <x:v>이음·들뜸·오염</x:v>
      </x:c>
      <x:c r="E9" s="53"/>
      <x:c r="F9" s="50" t="str">
        <x:v>조명 아래 면 확인</x:v>
      </x:c>
      <x:c r="G9" s="54" t="n">
        <x:v>0</x:v>
      </x:c>
      <x:c r="H9" s="50" t="str">
        <x:v>해당없음</x:v>
      </x:c>
      <x:c r="I9" s="50" t="str"/>
      <x:c r="J9" s="53"/>
      <x:c r="K9" s="50" t="str">
        <x:v>대기</x:v>
      </x:c>
      <x:c r="L9" s="50" t="str">
        <x:v>[사진]</x:v>
      </x:c>
    </x:row>
    <x:row r="10">
      <x:c r="A10" s="50" t="str">
        <x:v>준공검수</x:v>
      </x:c>
      <x:c r="B10" s="50" t="str">
        <x:v>전체</x:v>
      </x:c>
      <x:c r="C10" s="50" t="str">
        <x:v>가구</x:v>
      </x:c>
      <x:c r="D10" s="50" t="str">
        <x:v>수평·수직·문 간섭</x:v>
      </x:c>
      <x:c r="E10" s="53"/>
      <x:c r="F10" s="50" t="str">
        <x:v>개폐와 마감 확인</x:v>
      </x:c>
      <x:c r="G10" s="54" t="n">
        <x:v>0</x:v>
      </x:c>
      <x:c r="H10" s="50" t="str">
        <x:v>해당없음</x:v>
      </x:c>
      <x:c r="I10" s="50" t="str"/>
      <x:c r="J10" s="53"/>
      <x:c r="K10" s="50" t="str">
        <x:v>대기</x:v>
      </x:c>
      <x:c r="L10" s="50" t="str">
        <x:v>[사진]</x:v>
      </x:c>
    </x:row>
    <x:row r="11">
      <x:c r="A11" s="50" t="str">
        <x:v>A/S</x:v>
      </x:c>
      <x:c r="B11" s="50" t="str">
        <x:v>[공간]</x:v>
      </x:c>
      <x:c r="C11" s="50" t="str">
        <x:v>[공정]</x:v>
      </x:c>
      <x:c r="D11" s="50" t="str">
        <x:v>[보수 내용]</x:v>
      </x:c>
      <x:c r="E11" s="53"/>
      <x:c r="F11" s="50" t="str">
        <x:v>[보수 기준]</x:v>
      </x:c>
      <x:c r="G11" s="54" t="n">
        <x:v>0</x:v>
      </x:c>
      <x:c r="H11" s="50" t="str">
        <x:v>해당없음</x:v>
      </x:c>
      <x:c r="I11" s="50" t="str">
        <x:v>[담당]</x:v>
      </x:c>
      <x:c r="J11" s="53"/>
      <x:c r="K11" s="50" t="str">
        <x:v>대기</x:v>
      </x:c>
      <x:c r="L11" s="50" t="str">
        <x:v>[사진/기간]</x:v>
      </x:c>
    </x:row>
    <x:row r="12">
      <x:c r="A12" s="50"/>
      <x:c r="B12" s="50"/>
      <x:c r="C12" s="50"/>
      <x:c r="D12" s="50"/>
      <x:c r="E12" s="53"/>
      <x:c r="F12" s="50"/>
      <x:c r="G12" s="54"/>
      <x:c r="H12" s="50"/>
      <x:c r="I12" s="50"/>
      <x:c r="J12" s="53"/>
      <x:c r="K12" s="50"/>
      <x:c r="L12" s="50"/>
    </x:row>
    <x:row r="13">
      <x:c r="A13" s="50"/>
      <x:c r="B13" s="50"/>
      <x:c r="C13" s="50"/>
      <x:c r="D13" s="50"/>
      <x:c r="E13" s="53"/>
      <x:c r="F13" s="50"/>
      <x:c r="G13" s="54"/>
      <x:c r="H13" s="50"/>
      <x:c r="I13" s="50"/>
      <x:c r="J13" s="53"/>
      <x:c r="K13" s="50"/>
      <x:c r="L13" s="50"/>
    </x:row>
    <x:row r="14">
      <x:c r="A14" s="50"/>
      <x:c r="B14" s="50"/>
      <x:c r="C14" s="50"/>
      <x:c r="D14" s="50"/>
      <x:c r="E14" s="53"/>
      <x:c r="F14" s="50"/>
      <x:c r="G14" s="54"/>
      <x:c r="H14" s="50"/>
      <x:c r="I14" s="50"/>
      <x:c r="J14" s="53"/>
      <x:c r="K14" s="50"/>
      <x:c r="L14" s="50"/>
    </x:row>
    <x:row r="15">
      <x:c r="A15" s="50"/>
      <x:c r="B15" s="50"/>
      <x:c r="C15" s="50"/>
      <x:c r="D15" s="50"/>
      <x:c r="E15" s="53"/>
      <x:c r="F15" s="50"/>
      <x:c r="G15" s="54"/>
      <x:c r="H15" s="50"/>
      <x:c r="I15" s="50"/>
      <x:c r="J15" s="53"/>
      <x:c r="K15" s="50"/>
      <x:c r="L15" s="50"/>
    </x:row>
    <x:row r="16">
      <x:c r="A16" s="50"/>
      <x:c r="B16" s="50"/>
      <x:c r="C16" s="50"/>
      <x:c r="D16" s="50"/>
      <x:c r="E16" s="53"/>
      <x:c r="F16" s="50"/>
      <x:c r="G16" s="54"/>
      <x:c r="H16" s="50"/>
      <x:c r="I16" s="50"/>
      <x:c r="J16" s="53"/>
      <x:c r="K16" s="50"/>
      <x:c r="L16" s="50"/>
    </x:row>
    <x:row r="17">
      <x:c r="A17" s="50"/>
      <x:c r="B17" s="50"/>
      <x:c r="C17" s="50"/>
      <x:c r="D17" s="50"/>
      <x:c r="E17" s="53"/>
      <x:c r="F17" s="50"/>
      <x:c r="G17" s="54"/>
      <x:c r="H17" s="50"/>
      <x:c r="I17" s="50"/>
      <x:c r="J17" s="53"/>
      <x:c r="K17" s="50"/>
      <x:c r="L17" s="50"/>
    </x:row>
    <x:row r="18">
      <x:c r="A18" s="50"/>
      <x:c r="B18" s="50"/>
      <x:c r="C18" s="50"/>
      <x:c r="D18" s="50"/>
      <x:c r="E18" s="53"/>
      <x:c r="F18" s="50"/>
      <x:c r="G18" s="54"/>
      <x:c r="H18" s="50"/>
      <x:c r="I18" s="50"/>
      <x:c r="J18" s="53"/>
      <x:c r="K18" s="50"/>
      <x:c r="L18" s="50"/>
    </x:row>
    <x:row r="19">
      <x:c r="A19" s="50"/>
      <x:c r="B19" s="50"/>
      <x:c r="C19" s="50"/>
      <x:c r="D19" s="50"/>
      <x:c r="E19" s="53"/>
      <x:c r="F19" s="50"/>
      <x:c r="G19" s="54"/>
      <x:c r="H19" s="50"/>
      <x:c r="I19" s="50"/>
      <x:c r="J19" s="53"/>
      <x:c r="K19" s="50"/>
      <x:c r="L19" s="50"/>
    </x:row>
    <x:row r="20">
      <x:c r="A20" s="50"/>
      <x:c r="B20" s="50"/>
      <x:c r="C20" s="50"/>
      <x:c r="D20" s="50"/>
      <x:c r="E20" s="53"/>
      <x:c r="F20" s="50"/>
      <x:c r="G20" s="54"/>
      <x:c r="H20" s="50"/>
      <x:c r="I20" s="50"/>
      <x:c r="J20" s="53"/>
      <x:c r="K20" s="50"/>
      <x:c r="L20" s="50"/>
    </x:row>
    <x:row r="21">
      <x:c r="A21" s="50"/>
      <x:c r="B21" s="50"/>
      <x:c r="C21" s="50"/>
      <x:c r="D21" s="50"/>
      <x:c r="E21" s="53"/>
      <x:c r="F21" s="50"/>
      <x:c r="G21" s="54"/>
      <x:c r="H21" s="50"/>
      <x:c r="I21" s="50"/>
      <x:c r="J21" s="53"/>
      <x:c r="K21" s="50"/>
      <x:c r="L21" s="50"/>
    </x:row>
    <x:row r="22">
      <x:c r="A22" s="50"/>
      <x:c r="B22" s="50"/>
      <x:c r="C22" s="50"/>
      <x:c r="D22" s="50"/>
      <x:c r="E22" s="53"/>
      <x:c r="F22" s="50"/>
      <x:c r="G22" s="54"/>
      <x:c r="H22" s="50"/>
      <x:c r="I22" s="50"/>
      <x:c r="J22" s="53"/>
      <x:c r="K22" s="50"/>
      <x:c r="L22" s="50"/>
    </x:row>
    <x:row r="23">
      <x:c r="A23" s="50"/>
      <x:c r="B23" s="50"/>
      <x:c r="C23" s="50"/>
      <x:c r="D23" s="50"/>
      <x:c r="E23" s="53"/>
      <x:c r="F23" s="50"/>
      <x:c r="G23" s="54"/>
      <x:c r="H23" s="50"/>
      <x:c r="I23" s="50"/>
      <x:c r="J23" s="53"/>
      <x:c r="K23" s="50"/>
      <x:c r="L23" s="50"/>
    </x:row>
    <x:row r="24">
      <x:c r="A24" s="50"/>
      <x:c r="B24" s="50"/>
      <x:c r="C24" s="50"/>
      <x:c r="D24" s="50"/>
      <x:c r="E24" s="53"/>
      <x:c r="F24" s="50"/>
      <x:c r="G24" s="54"/>
      <x:c r="H24" s="50"/>
      <x:c r="I24" s="50"/>
      <x:c r="J24" s="53"/>
      <x:c r="K24" s="50"/>
      <x:c r="L24" s="50"/>
    </x:row>
    <x:row r="25">
      <x:c r="A25" s="50"/>
      <x:c r="B25" s="50"/>
      <x:c r="C25" s="50"/>
      <x:c r="D25" s="50"/>
      <x:c r="E25" s="53"/>
      <x:c r="F25" s="50"/>
      <x:c r="G25" s="54"/>
      <x:c r="H25" s="50"/>
      <x:c r="I25" s="50"/>
      <x:c r="J25" s="53"/>
      <x:c r="K25" s="50"/>
      <x:c r="L25" s="50"/>
    </x:row>
    <x:row r="26">
      <x:c r="A26" s="50"/>
      <x:c r="B26" s="50"/>
      <x:c r="C26" s="50"/>
      <x:c r="D26" s="50"/>
      <x:c r="E26" s="53"/>
      <x:c r="F26" s="50"/>
      <x:c r="G26" s="54"/>
      <x:c r="H26" s="50"/>
      <x:c r="I26" s="50"/>
      <x:c r="J26" s="53"/>
      <x:c r="K26" s="50"/>
      <x:c r="L26" s="50"/>
    </x:row>
    <x:row r="27">
      <x:c r="A27" s="50"/>
      <x:c r="B27" s="50"/>
      <x:c r="C27" s="50"/>
      <x:c r="D27" s="50"/>
      <x:c r="E27" s="53"/>
      <x:c r="F27" s="50"/>
      <x:c r="G27" s="54"/>
      <x:c r="H27" s="50"/>
      <x:c r="I27" s="50"/>
      <x:c r="J27" s="53"/>
      <x:c r="K27" s="50"/>
      <x:c r="L27" s="50"/>
    </x:row>
    <x:row r="28">
      <x:c r="A28" s="50"/>
      <x:c r="B28" s="50"/>
      <x:c r="C28" s="50"/>
      <x:c r="D28" s="50"/>
      <x:c r="E28" s="53"/>
      <x:c r="F28" s="50"/>
      <x:c r="G28" s="54"/>
      <x:c r="H28" s="50"/>
      <x:c r="I28" s="50"/>
      <x:c r="J28" s="53"/>
      <x:c r="K28" s="50"/>
      <x:c r="L28" s="50"/>
    </x:row>
    <x:row r="29">
      <x:c r="A29" s="50"/>
      <x:c r="B29" s="50"/>
      <x:c r="C29" s="50"/>
      <x:c r="D29" s="50"/>
      <x:c r="E29" s="53"/>
      <x:c r="F29" s="50"/>
      <x:c r="G29" s="54"/>
      <x:c r="H29" s="50"/>
      <x:c r="I29" s="50"/>
      <x:c r="J29" s="53"/>
      <x:c r="K29" s="50"/>
      <x:c r="L29" s="50"/>
    </x:row>
    <x:row r="30">
      <x:c r="A30" s="50"/>
      <x:c r="B30" s="50"/>
      <x:c r="C30" s="50"/>
      <x:c r="D30" s="50"/>
      <x:c r="E30" s="53"/>
      <x:c r="F30" s="50"/>
      <x:c r="G30" s="54"/>
      <x:c r="H30" s="50"/>
      <x:c r="I30" s="50"/>
      <x:c r="J30" s="53"/>
      <x:c r="K30" s="50"/>
      <x:c r="L30" s="50"/>
    </x:row>
    <x:row r="31">
      <x:c r="A31" s="50"/>
      <x:c r="B31" s="50"/>
      <x:c r="C31" s="50"/>
      <x:c r="D31" s="50"/>
      <x:c r="E31" s="53"/>
      <x:c r="F31" s="50"/>
      <x:c r="G31" s="54"/>
      <x:c r="H31" s="50"/>
      <x:c r="I31" s="50"/>
      <x:c r="J31" s="53"/>
      <x:c r="K31" s="50"/>
      <x:c r="L31" s="50"/>
    </x:row>
    <x:row r="32">
      <x:c r="A32" s="50"/>
      <x:c r="B32" s="50"/>
      <x:c r="C32" s="50"/>
      <x:c r="D32" s="50"/>
      <x:c r="E32" s="53"/>
      <x:c r="F32" s="50"/>
      <x:c r="G32" s="54"/>
      <x:c r="H32" s="50"/>
      <x:c r="I32" s="50"/>
      <x:c r="J32" s="53"/>
      <x:c r="K32" s="50"/>
      <x:c r="L32" s="50"/>
    </x:row>
    <x:row r="33">
      <x:c r="A33" s="50"/>
      <x:c r="B33" s="50"/>
      <x:c r="C33" s="50"/>
      <x:c r="D33" s="50"/>
      <x:c r="E33" s="53"/>
      <x:c r="F33" s="50"/>
      <x:c r="G33" s="54"/>
      <x:c r="H33" s="50"/>
      <x:c r="I33" s="50"/>
      <x:c r="J33" s="53"/>
      <x:c r="K33" s="50"/>
      <x:c r="L33" s="50"/>
    </x:row>
    <x:row r="34">
      <x:c r="A34" s="50"/>
      <x:c r="B34" s="50"/>
      <x:c r="C34" s="50"/>
      <x:c r="D34" s="50"/>
      <x:c r="E34" s="53"/>
      <x:c r="F34" s="50"/>
      <x:c r="G34" s="54"/>
      <x:c r="H34" s="50"/>
      <x:c r="I34" s="50"/>
      <x:c r="J34" s="53"/>
      <x:c r="K34" s="50"/>
      <x:c r="L34" s="50"/>
    </x:row>
    <x:row r="35">
      <x:c r="A35" s="50"/>
      <x:c r="B35" s="50"/>
      <x:c r="C35" s="50"/>
      <x:c r="D35" s="50"/>
      <x:c r="E35" s="53"/>
      <x:c r="F35" s="50"/>
      <x:c r="G35" s="54"/>
      <x:c r="H35" s="50"/>
      <x:c r="I35" s="50"/>
      <x:c r="J35" s="53"/>
      <x:c r="K35" s="50"/>
      <x:c r="L35" s="50"/>
    </x:row>
    <x:row r="36">
      <x:c r="A36" s="50"/>
      <x:c r="B36" s="50"/>
      <x:c r="C36" s="50"/>
      <x:c r="D36" s="50"/>
      <x:c r="E36" s="53"/>
      <x:c r="F36" s="50"/>
      <x:c r="G36" s="54"/>
      <x:c r="H36" s="50"/>
      <x:c r="I36" s="50"/>
      <x:c r="J36" s="53"/>
      <x:c r="K36" s="50"/>
      <x:c r="L36" s="50"/>
    </x:row>
    <x:row r="37">
      <x:c r="A37" s="50"/>
      <x:c r="B37" s="50"/>
      <x:c r="C37" s="50"/>
      <x:c r="D37" s="50"/>
      <x:c r="E37" s="53"/>
      <x:c r="F37" s="50"/>
      <x:c r="G37" s="54"/>
      <x:c r="H37" s="50"/>
      <x:c r="I37" s="50"/>
      <x:c r="J37" s="53"/>
      <x:c r="K37" s="50"/>
      <x:c r="L37" s="50"/>
    </x:row>
    <x:row r="38">
      <x:c r="A38" s="50"/>
      <x:c r="B38" s="50"/>
      <x:c r="C38" s="50"/>
      <x:c r="D38" s="50"/>
      <x:c r="E38" s="53"/>
      <x:c r="F38" s="50"/>
      <x:c r="G38" s="54"/>
      <x:c r="H38" s="50"/>
      <x:c r="I38" s="50"/>
      <x:c r="J38" s="53"/>
      <x:c r="K38" s="50"/>
      <x:c r="L38" s="50"/>
    </x:row>
    <x:row r="39">
      <x:c r="A39" s="50"/>
      <x:c r="B39" s="50"/>
      <x:c r="C39" s="50"/>
      <x:c r="D39" s="50"/>
      <x:c r="E39" s="53"/>
      <x:c r="F39" s="50"/>
      <x:c r="G39" s="54"/>
      <x:c r="H39" s="50"/>
      <x:c r="I39" s="50"/>
      <x:c r="J39" s="53"/>
      <x:c r="K39" s="50"/>
      <x:c r="L39" s="50"/>
    </x:row>
    <x:row r="40">
      <x:c r="A40" s="50"/>
      <x:c r="B40" s="50"/>
      <x:c r="C40" s="50"/>
      <x:c r="D40" s="50"/>
      <x:c r="E40" s="53"/>
      <x:c r="F40" s="50"/>
      <x:c r="G40" s="54"/>
      <x:c r="H40" s="50"/>
      <x:c r="I40" s="50"/>
      <x:c r="J40" s="53"/>
      <x:c r="K40" s="50"/>
      <x:c r="L40" s="50"/>
    </x:row>
    <x:row r="41">
      <x:c r="A41" s="50"/>
      <x:c r="B41" s="50"/>
      <x:c r="C41" s="50"/>
      <x:c r="D41" s="50"/>
      <x:c r="E41" s="53"/>
      <x:c r="F41" s="50"/>
      <x:c r="G41" s="54"/>
      <x:c r="H41" s="50"/>
      <x:c r="I41" s="50"/>
      <x:c r="J41" s="53"/>
      <x:c r="K41" s="50"/>
      <x:c r="L41" s="50"/>
    </x:row>
    <x:row r="42">
      <x:c r="A42" s="50"/>
      <x:c r="B42" s="50"/>
      <x:c r="C42" s="50"/>
      <x:c r="D42" s="50"/>
      <x:c r="E42" s="53"/>
      <x:c r="F42" s="50"/>
      <x:c r="G42" s="54"/>
      <x:c r="H42" s="50"/>
      <x:c r="I42" s="50"/>
      <x:c r="J42" s="53"/>
      <x:c r="K42" s="50"/>
      <x:c r="L42" s="50"/>
    </x:row>
    <x:row r="43">
      <x:c r="A43" s="50"/>
      <x:c r="B43" s="50"/>
      <x:c r="C43" s="50"/>
      <x:c r="D43" s="50"/>
      <x:c r="E43" s="53"/>
      <x:c r="F43" s="50"/>
      <x:c r="G43" s="54"/>
      <x:c r="H43" s="50"/>
      <x:c r="I43" s="50"/>
      <x:c r="J43" s="53"/>
      <x:c r="K43" s="50"/>
      <x:c r="L43" s="50"/>
    </x:row>
    <x:row r="44">
      <x:c r="A44" s="50"/>
      <x:c r="B44" s="50"/>
      <x:c r="C44" s="50"/>
      <x:c r="D44" s="50"/>
      <x:c r="E44" s="53"/>
      <x:c r="F44" s="50"/>
      <x:c r="G44" s="54"/>
      <x:c r="H44" s="50"/>
      <x:c r="I44" s="50"/>
      <x:c r="J44" s="53"/>
      <x:c r="K44" s="50"/>
      <x:c r="L44" s="50"/>
    </x:row>
    <x:row r="45">
      <x:c r="A45" s="50"/>
      <x:c r="B45" s="50"/>
      <x:c r="C45" s="50"/>
      <x:c r="D45" s="50"/>
      <x:c r="E45" s="53"/>
      <x:c r="F45" s="50"/>
      <x:c r="G45" s="54"/>
      <x:c r="H45" s="50"/>
      <x:c r="I45" s="50"/>
      <x:c r="J45" s="53"/>
      <x:c r="K45" s="50"/>
      <x:c r="L45" s="50"/>
    </x:row>
    <x:row r="46">
      <x:c r="A46" s="50"/>
      <x:c r="B46" s="50"/>
      <x:c r="C46" s="50"/>
      <x:c r="D46" s="50"/>
      <x:c r="E46" s="53"/>
      <x:c r="F46" s="50"/>
      <x:c r="G46" s="54"/>
      <x:c r="H46" s="50"/>
      <x:c r="I46" s="50"/>
      <x:c r="J46" s="53"/>
      <x:c r="K46" s="50"/>
      <x:c r="L46" s="50"/>
    </x:row>
    <x:row r="47">
      <x:c r="A47" s="50"/>
      <x:c r="B47" s="50"/>
      <x:c r="C47" s="50"/>
      <x:c r="D47" s="50"/>
      <x:c r="E47" s="53"/>
      <x:c r="F47" s="50"/>
      <x:c r="G47" s="54"/>
      <x:c r="H47" s="50"/>
      <x:c r="I47" s="50"/>
      <x:c r="J47" s="53"/>
      <x:c r="K47" s="50"/>
      <x:c r="L47" s="50"/>
    </x:row>
    <x:row r="48">
      <x:c r="A48" s="50"/>
      <x:c r="B48" s="50"/>
      <x:c r="C48" s="50"/>
      <x:c r="D48" s="50"/>
      <x:c r="E48" s="53"/>
      <x:c r="F48" s="50"/>
      <x:c r="G48" s="54"/>
      <x:c r="H48" s="50"/>
      <x:c r="I48" s="50"/>
      <x:c r="J48" s="53"/>
      <x:c r="K48" s="50"/>
      <x:c r="L48" s="50"/>
    </x:row>
    <x:row r="49">
      <x:c r="A49" s="50"/>
      <x:c r="B49" s="50"/>
      <x:c r="C49" s="50"/>
      <x:c r="D49" s="50"/>
      <x:c r="E49" s="53"/>
      <x:c r="F49" s="50"/>
      <x:c r="G49" s="54"/>
      <x:c r="H49" s="50"/>
      <x:c r="I49" s="50"/>
      <x:c r="J49" s="53"/>
      <x:c r="K49" s="50"/>
      <x:c r="L49" s="50"/>
    </x:row>
    <x:row r="50">
      <x:c r="A50" s="50"/>
      <x:c r="B50" s="50"/>
      <x:c r="C50" s="50"/>
      <x:c r="D50" s="50"/>
      <x:c r="E50" s="53"/>
      <x:c r="F50" s="50"/>
      <x:c r="G50" s="54"/>
      <x:c r="H50" s="50"/>
      <x:c r="I50" s="50"/>
      <x:c r="J50" s="53"/>
      <x:c r="K50" s="50"/>
      <x:c r="L50" s="50"/>
    </x:row>
    <x:row r="51">
      <x:c r="A51" s="50"/>
      <x:c r="B51" s="50"/>
      <x:c r="C51" s="50"/>
      <x:c r="D51" s="50"/>
      <x:c r="E51" s="53"/>
      <x:c r="F51" s="50"/>
      <x:c r="G51" s="54"/>
      <x:c r="H51" s="50"/>
      <x:c r="I51" s="50"/>
      <x:c r="J51" s="53"/>
      <x:c r="K51" s="50"/>
      <x:c r="L51" s="50"/>
    </x:row>
    <x:row r="52">
      <x:c r="A52" s="50"/>
      <x:c r="B52" s="50"/>
      <x:c r="C52" s="50"/>
      <x:c r="D52" s="50"/>
      <x:c r="E52" s="53"/>
      <x:c r="F52" s="50"/>
      <x:c r="G52" s="54"/>
      <x:c r="H52" s="50"/>
      <x:c r="I52" s="50"/>
      <x:c r="J52" s="53"/>
      <x:c r="K52" s="50"/>
      <x:c r="L52" s="50"/>
    </x:row>
    <x:row r="53">
      <x:c r="A53" s="50"/>
      <x:c r="B53" s="50"/>
      <x:c r="C53" s="50"/>
      <x:c r="D53" s="50"/>
      <x:c r="E53" s="53"/>
      <x:c r="F53" s="50"/>
      <x:c r="G53" s="54"/>
      <x:c r="H53" s="50"/>
      <x:c r="I53" s="50"/>
      <x:c r="J53" s="53"/>
      <x:c r="K53" s="50"/>
      <x:c r="L53" s="50"/>
    </x:row>
    <x:row r="54">
      <x:c r="A54" s="50"/>
      <x:c r="B54" s="50"/>
      <x:c r="C54" s="50"/>
      <x:c r="D54" s="50"/>
      <x:c r="E54" s="53"/>
      <x:c r="F54" s="50"/>
      <x:c r="G54" s="54"/>
      <x:c r="H54" s="50"/>
      <x:c r="I54" s="50"/>
      <x:c r="J54" s="53"/>
      <x:c r="K54" s="50"/>
      <x:c r="L54" s="50"/>
    </x:row>
    <x:row r="55">
      <x:c r="A55" s="50"/>
      <x:c r="B55" s="50"/>
      <x:c r="C55" s="50"/>
      <x:c r="D55" s="50"/>
      <x:c r="E55" s="53"/>
      <x:c r="F55" s="50"/>
      <x:c r="G55" s="54"/>
      <x:c r="H55" s="50"/>
      <x:c r="I55" s="50"/>
      <x:c r="J55" s="53"/>
      <x:c r="K55" s="50"/>
      <x:c r="L55" s="50"/>
    </x:row>
    <x:row r="56">
      <x:c r="A56" s="50"/>
      <x:c r="B56" s="50"/>
      <x:c r="C56" s="50"/>
      <x:c r="D56" s="50"/>
      <x:c r="E56" s="53"/>
      <x:c r="F56" s="50"/>
      <x:c r="G56" s="54"/>
      <x:c r="H56" s="50"/>
      <x:c r="I56" s="50"/>
      <x:c r="J56" s="53"/>
      <x:c r="K56" s="50"/>
      <x:c r="L56" s="50"/>
    </x:row>
    <x:row r="57">
      <x:c r="A57" s="50"/>
      <x:c r="B57" s="50"/>
      <x:c r="C57" s="50"/>
      <x:c r="D57" s="50"/>
      <x:c r="E57" s="53"/>
      <x:c r="F57" s="50"/>
      <x:c r="G57" s="54"/>
      <x:c r="H57" s="50"/>
      <x:c r="I57" s="50"/>
      <x:c r="J57" s="53"/>
      <x:c r="K57" s="50"/>
      <x:c r="L57" s="50"/>
    </x:row>
    <x:row r="58">
      <x:c r="A58" s="50"/>
      <x:c r="B58" s="50"/>
      <x:c r="C58" s="50"/>
      <x:c r="D58" s="50"/>
      <x:c r="E58" s="53"/>
      <x:c r="F58" s="50"/>
      <x:c r="G58" s="54"/>
      <x:c r="H58" s="50"/>
      <x:c r="I58" s="50"/>
      <x:c r="J58" s="53"/>
      <x:c r="K58" s="50"/>
      <x:c r="L58" s="50"/>
    </x:row>
    <x:row r="59">
      <x:c r="A59" s="50"/>
      <x:c r="B59" s="50"/>
      <x:c r="C59" s="50"/>
      <x:c r="D59" s="50"/>
      <x:c r="E59" s="53"/>
      <x:c r="F59" s="50"/>
      <x:c r="G59" s="54"/>
      <x:c r="H59" s="50"/>
      <x:c r="I59" s="50"/>
      <x:c r="J59" s="53"/>
      <x:c r="K59" s="50"/>
      <x:c r="L59" s="50"/>
    </x:row>
    <x:row r="60">
      <x:c r="A60" s="50"/>
      <x:c r="B60" s="50"/>
      <x:c r="C60" s="50"/>
      <x:c r="D60" s="50"/>
      <x:c r="E60" s="53"/>
      <x:c r="F60" s="50"/>
      <x:c r="G60" s="54"/>
      <x:c r="H60" s="50"/>
      <x:c r="I60" s="50"/>
      <x:c r="J60" s="53"/>
      <x:c r="K60" s="50"/>
      <x:c r="L60" s="50"/>
    </x:row>
    <x:row r="61">
      <x:c r="A61" s="50"/>
      <x:c r="B61" s="50"/>
      <x:c r="C61" s="50"/>
      <x:c r="D61" s="50"/>
      <x:c r="E61" s="53"/>
      <x:c r="F61" s="50"/>
      <x:c r="G61" s="54"/>
      <x:c r="H61" s="50"/>
      <x:c r="I61" s="50"/>
      <x:c r="J61" s="53"/>
      <x:c r="K61" s="50"/>
      <x:c r="L61" s="50"/>
    </x:row>
    <x:row r="62">
      <x:c r="A62" s="50"/>
      <x:c r="B62" s="50"/>
      <x:c r="C62" s="50"/>
      <x:c r="D62" s="50"/>
      <x:c r="E62" s="53"/>
      <x:c r="F62" s="50"/>
      <x:c r="G62" s="54"/>
      <x:c r="H62" s="50"/>
      <x:c r="I62" s="50"/>
      <x:c r="J62" s="53"/>
      <x:c r="K62" s="50"/>
      <x:c r="L62" s="50"/>
    </x:row>
    <x:row r="63">
      <x:c r="A63" s="50"/>
      <x:c r="B63" s="50"/>
      <x:c r="C63" s="50"/>
      <x:c r="D63" s="50"/>
      <x:c r="E63" s="53"/>
      <x:c r="F63" s="50"/>
      <x:c r="G63" s="54"/>
      <x:c r="H63" s="50"/>
      <x:c r="I63" s="50"/>
      <x:c r="J63" s="53"/>
      <x:c r="K63" s="50"/>
      <x:c r="L63" s="50"/>
    </x:row>
    <x:row r="64">
      <x:c r="A64" s="50"/>
      <x:c r="B64" s="50"/>
      <x:c r="C64" s="50"/>
      <x:c r="D64" s="50"/>
      <x:c r="E64" s="53"/>
      <x:c r="F64" s="50"/>
      <x:c r="G64" s="54"/>
      <x:c r="H64" s="50"/>
      <x:c r="I64" s="50"/>
      <x:c r="J64" s="53"/>
      <x:c r="K64" s="50"/>
      <x:c r="L64" s="50"/>
    </x:row>
    <x:row r="65">
      <x:c r="A65" s="50"/>
      <x:c r="B65" s="50"/>
      <x:c r="C65" s="50"/>
      <x:c r="D65" s="50"/>
      <x:c r="E65" s="53"/>
      <x:c r="F65" s="50"/>
      <x:c r="G65" s="54"/>
      <x:c r="H65" s="50"/>
      <x:c r="I65" s="50"/>
      <x:c r="J65" s="53"/>
      <x:c r="K65" s="50"/>
      <x:c r="L65" s="50"/>
    </x:row>
    <x:row r="66">
      <x:c r="A66" s="50"/>
      <x:c r="B66" s="50"/>
      <x:c r="C66" s="50"/>
      <x:c r="D66" s="50"/>
      <x:c r="E66" s="53"/>
      <x:c r="F66" s="50"/>
      <x:c r="G66" s="54"/>
      <x:c r="H66" s="50"/>
      <x:c r="I66" s="50"/>
      <x:c r="J66" s="53"/>
      <x:c r="K66" s="50"/>
      <x:c r="L66" s="50"/>
    </x:row>
    <x:row r="67">
      <x:c r="A67" s="50"/>
      <x:c r="B67" s="50"/>
      <x:c r="C67" s="50"/>
      <x:c r="D67" s="50"/>
      <x:c r="E67" s="53"/>
      <x:c r="F67" s="50"/>
      <x:c r="G67" s="54"/>
      <x:c r="H67" s="50"/>
      <x:c r="I67" s="50"/>
      <x:c r="J67" s="53"/>
      <x:c r="K67" s="50"/>
      <x:c r="L67" s="50"/>
    </x:row>
    <x:row r="68">
      <x:c r="A68" s="50"/>
      <x:c r="B68" s="50"/>
      <x:c r="C68" s="50"/>
      <x:c r="D68" s="50"/>
      <x:c r="E68" s="53"/>
      <x:c r="F68" s="50"/>
      <x:c r="G68" s="54"/>
      <x:c r="H68" s="50"/>
      <x:c r="I68" s="50"/>
      <x:c r="J68" s="53"/>
      <x:c r="K68" s="50"/>
      <x:c r="L68" s="50"/>
    </x:row>
    <x:row r="69">
      <x:c r="A69" s="50"/>
      <x:c r="B69" s="50"/>
      <x:c r="C69" s="50"/>
      <x:c r="D69" s="50"/>
      <x:c r="E69" s="53"/>
      <x:c r="F69" s="50"/>
      <x:c r="G69" s="54"/>
      <x:c r="H69" s="50"/>
      <x:c r="I69" s="50"/>
      <x:c r="J69" s="53"/>
      <x:c r="K69" s="50"/>
      <x:c r="L69" s="50"/>
    </x:row>
    <x:row r="70">
      <x:c r="A70" s="50"/>
      <x:c r="B70" s="50"/>
      <x:c r="C70" s="50"/>
      <x:c r="D70" s="50"/>
      <x:c r="E70" s="53"/>
      <x:c r="F70" s="50"/>
      <x:c r="G70" s="54"/>
      <x:c r="H70" s="50"/>
      <x:c r="I70" s="50"/>
      <x:c r="J70" s="53"/>
      <x:c r="K70" s="50"/>
      <x:c r="L70" s="50"/>
    </x:row>
    <x:row r="71">
      <x:c r="A71" s="50"/>
      <x:c r="B71" s="50"/>
      <x:c r="C71" s="50"/>
      <x:c r="D71" s="50"/>
      <x:c r="E71" s="53"/>
      <x:c r="F71" s="50"/>
      <x:c r="G71" s="54"/>
      <x:c r="H71" s="50"/>
      <x:c r="I71" s="50"/>
      <x:c r="J71" s="53"/>
      <x:c r="K71" s="50"/>
      <x:c r="L71" s="50"/>
    </x:row>
    <x:row r="72">
      <x:c r="A72" s="50"/>
      <x:c r="B72" s="50"/>
      <x:c r="C72" s="50"/>
      <x:c r="D72" s="50"/>
      <x:c r="E72" s="53"/>
      <x:c r="F72" s="50"/>
      <x:c r="G72" s="54"/>
      <x:c r="H72" s="50"/>
      <x:c r="I72" s="50"/>
      <x:c r="J72" s="53"/>
      <x:c r="K72" s="50"/>
      <x:c r="L72" s="50"/>
    </x:row>
    <x:row r="73">
      <x:c r="A73" s="50"/>
      <x:c r="B73" s="50"/>
      <x:c r="C73" s="50"/>
      <x:c r="D73" s="50"/>
      <x:c r="E73" s="53"/>
      <x:c r="F73" s="50"/>
      <x:c r="G73" s="54"/>
      <x:c r="H73" s="50"/>
      <x:c r="I73" s="50"/>
      <x:c r="J73" s="53"/>
      <x:c r="K73" s="50"/>
      <x:c r="L73" s="50"/>
    </x:row>
    <x:row r="74">
      <x:c r="A74" s="50"/>
      <x:c r="B74" s="50"/>
      <x:c r="C74" s="50"/>
      <x:c r="D74" s="50"/>
      <x:c r="E74" s="53"/>
      <x:c r="F74" s="50"/>
      <x:c r="G74" s="54"/>
      <x:c r="H74" s="50"/>
      <x:c r="I74" s="50"/>
      <x:c r="J74" s="53"/>
      <x:c r="K74" s="50"/>
      <x:c r="L74" s="50"/>
    </x:row>
    <x:row r="75">
      <x:c r="A75" s="50"/>
      <x:c r="B75" s="50"/>
      <x:c r="C75" s="50"/>
      <x:c r="D75" s="50"/>
      <x:c r="E75" s="53"/>
      <x:c r="F75" s="50"/>
      <x:c r="G75" s="54"/>
      <x:c r="H75" s="50"/>
      <x:c r="I75" s="50"/>
      <x:c r="J75" s="53"/>
      <x:c r="K75" s="50"/>
      <x:c r="L75" s="50"/>
    </x:row>
    <x:row r="76">
      <x:c r="A76" s="50"/>
      <x:c r="B76" s="50"/>
      <x:c r="C76" s="50"/>
      <x:c r="D76" s="50"/>
      <x:c r="E76" s="53"/>
      <x:c r="F76" s="50"/>
      <x:c r="G76" s="54"/>
      <x:c r="H76" s="50"/>
      <x:c r="I76" s="50"/>
      <x:c r="J76" s="53"/>
      <x:c r="K76" s="50"/>
      <x:c r="L76" s="50"/>
    </x:row>
    <x:row r="77">
      <x:c r="A77" s="50"/>
      <x:c r="B77" s="50"/>
      <x:c r="C77" s="50"/>
      <x:c r="D77" s="50"/>
      <x:c r="E77" s="53"/>
      <x:c r="F77" s="50"/>
      <x:c r="G77" s="54"/>
      <x:c r="H77" s="50"/>
      <x:c r="I77" s="50"/>
      <x:c r="J77" s="53"/>
      <x:c r="K77" s="50"/>
      <x:c r="L77" s="50"/>
    </x:row>
    <x:row r="78">
      <x:c r="A78" s="50"/>
      <x:c r="B78" s="50"/>
      <x:c r="C78" s="50"/>
      <x:c r="D78" s="50"/>
      <x:c r="E78" s="53"/>
      <x:c r="F78" s="50"/>
      <x:c r="G78" s="54"/>
      <x:c r="H78" s="50"/>
      <x:c r="I78" s="50"/>
      <x:c r="J78" s="53"/>
      <x:c r="K78" s="50"/>
      <x:c r="L78" s="50"/>
    </x:row>
    <x:row r="79">
      <x:c r="A79" s="50"/>
      <x:c r="B79" s="50"/>
      <x:c r="C79" s="50"/>
      <x:c r="D79" s="50"/>
      <x:c r="E79" s="53"/>
      <x:c r="F79" s="50"/>
      <x:c r="G79" s="54"/>
      <x:c r="H79" s="50"/>
      <x:c r="I79" s="50"/>
      <x:c r="J79" s="53"/>
      <x:c r="K79" s="50"/>
      <x:c r="L79" s="50"/>
    </x:row>
    <x:row r="80">
      <x:c r="A80" s="50"/>
      <x:c r="B80" s="50"/>
      <x:c r="C80" s="50"/>
      <x:c r="D80" s="50"/>
      <x:c r="E80" s="53"/>
      <x:c r="F80" s="50"/>
      <x:c r="G80" s="54"/>
      <x:c r="H80" s="50"/>
      <x:c r="I80" s="50"/>
      <x:c r="J80" s="53"/>
      <x:c r="K80" s="50"/>
      <x:c r="L80" s="50"/>
    </x:row>
    <x:row r="81">
      <x:c r="A81" s="50"/>
      <x:c r="B81" s="50"/>
      <x:c r="C81" s="50"/>
      <x:c r="D81" s="50"/>
      <x:c r="E81" s="53"/>
      <x:c r="F81" s="50"/>
      <x:c r="G81" s="54"/>
      <x:c r="H81" s="50"/>
      <x:c r="I81" s="50"/>
      <x:c r="J81" s="53"/>
      <x:c r="K81" s="50"/>
      <x:c r="L81" s="50"/>
    </x:row>
    <x:row r="82">
      <x:c r="A82" s="50"/>
      <x:c r="B82" s="50"/>
      <x:c r="C82" s="50"/>
      <x:c r="D82" s="50"/>
      <x:c r="E82" s="53"/>
      <x:c r="F82" s="50"/>
      <x:c r="G82" s="54"/>
      <x:c r="H82" s="50"/>
      <x:c r="I82" s="50"/>
      <x:c r="J82" s="53"/>
      <x:c r="K82" s="50"/>
      <x:c r="L82" s="50"/>
    </x:row>
    <x:row r="83">
      <x:c r="A83" s="50"/>
      <x:c r="B83" s="50"/>
      <x:c r="C83" s="50"/>
      <x:c r="D83" s="50"/>
      <x:c r="E83" s="53"/>
      <x:c r="F83" s="50"/>
      <x:c r="G83" s="54"/>
      <x:c r="H83" s="50"/>
      <x:c r="I83" s="50"/>
      <x:c r="J83" s="53"/>
      <x:c r="K83" s="50"/>
      <x:c r="L83" s="50"/>
    </x:row>
    <x:row r="84">
      <x:c r="A84" s="50"/>
      <x:c r="B84" s="50"/>
      <x:c r="C84" s="50"/>
      <x:c r="D84" s="50"/>
      <x:c r="E84" s="53"/>
      <x:c r="F84" s="50"/>
      <x:c r="G84" s="54"/>
      <x:c r="H84" s="50"/>
      <x:c r="I84" s="50"/>
      <x:c r="J84" s="53"/>
      <x:c r="K84" s="50"/>
      <x:c r="L84" s="50"/>
    </x:row>
    <x:row r="85">
      <x:c r="A85" s="50"/>
      <x:c r="B85" s="50"/>
      <x:c r="C85" s="50"/>
      <x:c r="D85" s="50"/>
      <x:c r="E85" s="53"/>
      <x:c r="F85" s="50"/>
      <x:c r="G85" s="54"/>
      <x:c r="H85" s="50"/>
      <x:c r="I85" s="50"/>
      <x:c r="J85" s="53"/>
      <x:c r="K85" s="50"/>
      <x:c r="L85" s="50"/>
    </x:row>
    <x:row r="86">
      <x:c r="A86" s="50"/>
      <x:c r="B86" s="50"/>
      <x:c r="C86" s="50"/>
      <x:c r="D86" s="50"/>
      <x:c r="E86" s="53"/>
      <x:c r="F86" s="50"/>
      <x:c r="G86" s="54"/>
      <x:c r="H86" s="50"/>
      <x:c r="I86" s="50"/>
      <x:c r="J86" s="53"/>
      <x:c r="K86" s="50"/>
      <x:c r="L86" s="50"/>
    </x:row>
    <x:row r="87">
      <x:c r="A87" s="50"/>
      <x:c r="B87" s="50"/>
      <x:c r="C87" s="50"/>
      <x:c r="D87" s="50"/>
      <x:c r="E87" s="53"/>
      <x:c r="F87" s="50"/>
      <x:c r="G87" s="54"/>
      <x:c r="H87" s="50"/>
      <x:c r="I87" s="50"/>
      <x:c r="J87" s="53"/>
      <x:c r="K87" s="50"/>
      <x:c r="L87" s="50"/>
    </x:row>
    <x:row r="88">
      <x:c r="A88" s="50"/>
      <x:c r="B88" s="50"/>
      <x:c r="C88" s="50"/>
      <x:c r="D88" s="50"/>
      <x:c r="E88" s="53"/>
      <x:c r="F88" s="50"/>
      <x:c r="G88" s="54"/>
      <x:c r="H88" s="50"/>
      <x:c r="I88" s="50"/>
      <x:c r="J88" s="53"/>
      <x:c r="K88" s="50"/>
      <x:c r="L88" s="50"/>
    </x:row>
    <x:row r="89">
      <x:c r="A89" s="50"/>
      <x:c r="B89" s="50"/>
      <x:c r="C89" s="50"/>
      <x:c r="D89" s="50"/>
      <x:c r="E89" s="53"/>
      <x:c r="F89" s="50"/>
      <x:c r="G89" s="54"/>
      <x:c r="H89" s="50"/>
      <x:c r="I89" s="50"/>
      <x:c r="J89" s="53"/>
      <x:c r="K89" s="50"/>
      <x:c r="L89" s="50"/>
    </x:row>
    <x:row r="90">
      <x:c r="A90" s="50"/>
      <x:c r="B90" s="50"/>
      <x:c r="C90" s="50"/>
      <x:c r="D90" s="50"/>
      <x:c r="E90" s="53"/>
      <x:c r="F90" s="50"/>
      <x:c r="G90" s="54"/>
      <x:c r="H90" s="50"/>
      <x:c r="I90" s="50"/>
      <x:c r="J90" s="53"/>
      <x:c r="K90" s="50"/>
      <x:c r="L90" s="50"/>
    </x:row>
    <x:row r="91">
      <x:c r="A91" s="50"/>
      <x:c r="B91" s="50"/>
      <x:c r="C91" s="50"/>
      <x:c r="D91" s="50"/>
      <x:c r="E91" s="53"/>
      <x:c r="F91" s="50"/>
      <x:c r="G91" s="54"/>
      <x:c r="H91" s="50"/>
      <x:c r="I91" s="50"/>
      <x:c r="J91" s="53"/>
      <x:c r="K91" s="50"/>
      <x:c r="L91" s="50"/>
    </x:row>
    <x:row r="92">
      <x:c r="A92" s="50"/>
      <x:c r="B92" s="50"/>
      <x:c r="C92" s="50"/>
      <x:c r="D92" s="50"/>
      <x:c r="E92" s="53"/>
      <x:c r="F92" s="50"/>
      <x:c r="G92" s="54"/>
      <x:c r="H92" s="50"/>
      <x:c r="I92" s="50"/>
      <x:c r="J92" s="53"/>
      <x:c r="K92" s="50"/>
      <x:c r="L92" s="50"/>
    </x:row>
    <x:row r="93">
      <x:c r="A93" s="50"/>
      <x:c r="B93" s="50"/>
      <x:c r="C93" s="50"/>
      <x:c r="D93" s="50"/>
      <x:c r="E93" s="53"/>
      <x:c r="F93" s="50"/>
      <x:c r="G93" s="54"/>
      <x:c r="H93" s="50"/>
      <x:c r="I93" s="50"/>
      <x:c r="J93" s="53"/>
      <x:c r="K93" s="50"/>
      <x:c r="L93" s="50"/>
    </x:row>
    <x:row r="94">
      <x:c r="A94" s="50"/>
      <x:c r="B94" s="50"/>
      <x:c r="C94" s="50"/>
      <x:c r="D94" s="50"/>
      <x:c r="E94" s="53"/>
      <x:c r="F94" s="50"/>
      <x:c r="G94" s="54"/>
      <x:c r="H94" s="50"/>
      <x:c r="I94" s="50"/>
      <x:c r="J94" s="53"/>
      <x:c r="K94" s="50"/>
      <x:c r="L94" s="50"/>
    </x:row>
    <x:row r="95">
      <x:c r="A95" s="50"/>
      <x:c r="B95" s="50"/>
      <x:c r="C95" s="50"/>
      <x:c r="D95" s="50"/>
      <x:c r="E95" s="53"/>
      <x:c r="F95" s="50"/>
      <x:c r="G95" s="54"/>
      <x:c r="H95" s="50"/>
      <x:c r="I95" s="50"/>
      <x:c r="J95" s="53"/>
      <x:c r="K95" s="50"/>
      <x:c r="L95" s="50"/>
    </x:row>
    <x:row r="96">
      <x:c r="A96" s="50"/>
      <x:c r="B96" s="50"/>
      <x:c r="C96" s="50"/>
      <x:c r="D96" s="50"/>
      <x:c r="E96" s="53"/>
      <x:c r="F96" s="50"/>
      <x:c r="G96" s="54"/>
      <x:c r="H96" s="50"/>
      <x:c r="I96" s="50"/>
      <x:c r="J96" s="53"/>
      <x:c r="K96" s="50"/>
      <x:c r="L96" s="50"/>
    </x:row>
    <x:row r="97">
      <x:c r="A97" s="50"/>
      <x:c r="B97" s="50"/>
      <x:c r="C97" s="50"/>
      <x:c r="D97" s="50"/>
      <x:c r="E97" s="53"/>
      <x:c r="F97" s="50"/>
      <x:c r="G97" s="54"/>
      <x:c r="H97" s="50"/>
      <x:c r="I97" s="50"/>
      <x:c r="J97" s="53"/>
      <x:c r="K97" s="50"/>
      <x:c r="L97" s="50"/>
    </x:row>
    <x:row r="98">
      <x:c r="A98" s="50"/>
      <x:c r="B98" s="50"/>
      <x:c r="C98" s="50"/>
      <x:c r="D98" s="50"/>
      <x:c r="E98" s="53"/>
      <x:c r="F98" s="50"/>
      <x:c r="G98" s="54"/>
      <x:c r="H98" s="50"/>
      <x:c r="I98" s="50"/>
      <x:c r="J98" s="53"/>
      <x:c r="K98" s="50"/>
      <x:c r="L98" s="50"/>
    </x:row>
    <x:row r="99">
      <x:c r="A99" s="50"/>
      <x:c r="B99" s="50"/>
      <x:c r="C99" s="50"/>
      <x:c r="D99" s="50"/>
      <x:c r="E99" s="53"/>
      <x:c r="F99" s="50"/>
      <x:c r="G99" s="54"/>
      <x:c r="H99" s="50"/>
      <x:c r="I99" s="50"/>
      <x:c r="J99" s="53"/>
      <x:c r="K99" s="50"/>
      <x:c r="L99" s="50"/>
    </x:row>
    <x:row r="100">
      <x:c r="A100" s="50"/>
      <x:c r="B100" s="50"/>
      <x:c r="C100" s="50"/>
      <x:c r="D100" s="50"/>
      <x:c r="E100" s="53"/>
      <x:c r="F100" s="50"/>
      <x:c r="G100" s="54"/>
      <x:c r="H100" s="50"/>
      <x:c r="I100" s="50"/>
      <x:c r="J100" s="53"/>
      <x:c r="K100" s="50"/>
      <x:c r="L100" s="50"/>
    </x:row>
    <x:row r="101">
      <x:c r="A101" s="50"/>
      <x:c r="B101" s="50"/>
      <x:c r="C101" s="50"/>
      <x:c r="D101" s="50"/>
      <x:c r="E101" s="53"/>
      <x:c r="F101" s="50"/>
      <x:c r="G101" s="54"/>
      <x:c r="H101" s="50"/>
      <x:c r="I101" s="50"/>
      <x:c r="J101" s="53"/>
      <x:c r="K101" s="50"/>
      <x:c r="L101" s="50"/>
    </x:row>
    <x:row r="102">
      <x:c r="A102" s="50"/>
      <x:c r="B102" s="50"/>
      <x:c r="C102" s="50"/>
      <x:c r="D102" s="50"/>
      <x:c r="E102" s="53"/>
      <x:c r="F102" s="50"/>
      <x:c r="G102" s="54"/>
      <x:c r="H102" s="50"/>
      <x:c r="I102" s="50"/>
      <x:c r="J102" s="53"/>
      <x:c r="K102" s="50"/>
      <x:c r="L102" s="50"/>
    </x:row>
    <x:row r="103">
      <x:c r="A103" s="50"/>
      <x:c r="B103" s="50"/>
      <x:c r="C103" s="50"/>
      <x:c r="D103" s="50"/>
      <x:c r="E103" s="53"/>
      <x:c r="F103" s="50"/>
      <x:c r="G103" s="54"/>
      <x:c r="H103" s="50"/>
      <x:c r="I103" s="50"/>
      <x:c r="J103" s="53"/>
      <x:c r="K103" s="50"/>
      <x:c r="L103" s="50"/>
    </x:row>
    <x:row r="104">
      <x:c r="A104" s="50"/>
      <x:c r="B104" s="50"/>
      <x:c r="C104" s="50"/>
      <x:c r="D104" s="50"/>
      <x:c r="E104" s="53"/>
      <x:c r="F104" s="50"/>
      <x:c r="G104" s="54"/>
      <x:c r="H104" s="50"/>
      <x:c r="I104" s="50"/>
      <x:c r="J104" s="53"/>
      <x:c r="K104" s="50"/>
      <x:c r="L104" s="50"/>
    </x:row>
  </x:sheetData>
  <x:mergeCells>
    <x:mergeCell ref="A1:L1"/>
    <x:mergeCell ref="A2:L2"/>
  </x:mergeCells>
  <x:dataValidations count="3">
    <x:dataValidation type="list" sqref="A5:A104">
      <x:formula1>"변경,중간검수,준공검수,A/S"</x:formula1>
    </x:dataValidation>
    <x:dataValidation type="list" sqref="H5:H104">
      <x:formula1>"미승인,승인,반려,해당없음"</x:formula1>
    </x:dataValidation>
    <x:dataValidation type="list" sqref="K5:K104">
      <x:formula1>"대기,진행,완료,보류"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34" hidden="0" customWidth="1"/>
    <x:col min="13" max="13" width="34" hidden="0" customWidth="1"/>
  </x:cols>
  <x:sheetData>
    <x:row r="1" ht="34" customHeight="1">
      <x:c r="A1" s="3" t="str">
        <x:v>08 | 예상 대비 실제 정산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완공 데이터를 다음 견적에 반영해 공간한쪽의 오차율을 지속적으로 낮춥니다.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5" customHeight="1">
      <x:c r="A4" s="16" t="str">
        <x:v>ID</x:v>
      </x:c>
      <x:c r="B4" s="17" t="str">
        <x:v>공간</x:v>
      </x:c>
      <x:c r="C4" s="17" t="str">
        <x:v>공종</x:v>
      </x:c>
      <x:c r="D4" s="17" t="str">
        <x:v>예상 수량</x:v>
      </x:c>
      <x:c r="E4" s="17" t="str">
        <x:v>실제 수량</x:v>
      </x:c>
      <x:c r="F4" s="17" t="str">
        <x:v>수량 차이</x:v>
      </x:c>
      <x:c r="G4" s="17" t="str">
        <x:v>예상 비용</x:v>
      </x:c>
      <x:c r="H4" s="17" t="str">
        <x:v>실제 비용</x:v>
      </x:c>
      <x:c r="I4" s="17" t="str">
        <x:v>비용 차이</x:v>
      </x:c>
      <x:c r="J4" s="17" t="str">
        <x:v>예상 기간</x:v>
      </x:c>
      <x:c r="K4" s="17" t="str">
        <x:v>실제 기간</x:v>
      </x:c>
      <x:c r="L4" s="17" t="str">
        <x:v>차이 원인</x:v>
      </x:c>
      <x:c r="M4" s="18" t="str">
        <x:v>다음 기준 반영</x:v>
      </x:c>
    </x:row>
    <x:row r="5">
      <x:c r="A5" s="50" t="str">
        <x:v>R001</x:v>
      </x:c>
      <x:c r="B5" s="50" t="str">
        <x:v>욕실</x:v>
      </x:c>
      <x:c r="C5" s="50" t="str">
        <x:v>타일</x:v>
      </x:c>
      <x:c r="D5" s="54" t="n">
        <x:v>0</x:v>
      </x:c>
      <x:c r="E5" s="54" t="n">
        <x:v>0</x:v>
      </x:c>
      <x:c r="F5" s="55" t="n">
        <x:f>IF(A5="","",E5-D5)</x:f>
        <x:v>0</x:v>
      </x:c>
      <x:c r="G5" s="54" t="n">
        <x:v>0</x:v>
      </x:c>
      <x:c r="H5" s="54" t="n">
        <x:v>0</x:v>
      </x:c>
      <x:c r="I5" s="55" t="n">
        <x:f>IF(A5="","",H5-G5)</x:f>
        <x:v>0</x:v>
      </x:c>
      <x:c r="J5" s="50" t="n">
        <x:v>0</x:v>
      </x:c>
      <x:c r="K5" s="50" t="n">
        <x:v>0</x:v>
      </x:c>
      <x:c r="L5" s="50" t="str">
        <x:v>[원인]</x:v>
      </x:c>
      <x:c r="M5" s="50" t="str">
        <x:v>[개선 기준]</x:v>
      </x:c>
    </x:row>
    <x:row r="6">
      <x:c r="A6" s="50" t="str">
        <x:v>R002</x:v>
      </x:c>
      <x:c r="B6" s="50" t="str">
        <x:v>전체</x:v>
      </x:c>
      <x:c r="C6" s="50" t="str">
        <x:v>철거</x:v>
      </x:c>
      <x:c r="D6" s="54" t="n">
        <x:v>0</x:v>
      </x:c>
      <x:c r="E6" s="54" t="n">
        <x:v>0</x:v>
      </x:c>
      <x:c r="F6" s="55" t="n">
        <x:f>IF(A6="","",E6-D6)</x:f>
        <x:v>0</x:v>
      </x:c>
      <x:c r="G6" s="54" t="n">
        <x:v>0</x:v>
      </x:c>
      <x:c r="H6" s="54" t="n">
        <x:v>0</x:v>
      </x:c>
      <x:c r="I6" s="55" t="n">
        <x:f>IF(A6="","",H6-G6)</x:f>
        <x:v>0</x:v>
      </x:c>
      <x:c r="J6" s="50" t="n">
        <x:v>0</x:v>
      </x:c>
      <x:c r="K6" s="50" t="n">
        <x:v>0</x:v>
      </x:c>
      <x:c r="L6" s="50" t="str">
        <x:v>[원인]</x:v>
      </x:c>
      <x:c r="M6" s="50" t="str">
        <x:v>[개선 기준]</x:v>
      </x:c>
    </x:row>
    <x:row r="7">
      <x:c r="A7" s="50" t="str">
        <x:v>R003</x:v>
      </x:c>
      <x:c r="B7" s="50" t="str">
        <x:v>거실</x:v>
      </x:c>
      <x:c r="C7" s="50" t="str">
        <x:v>도배</x:v>
      </x:c>
      <x:c r="D7" s="54" t="n">
        <x:v>0</x:v>
      </x:c>
      <x:c r="E7" s="54" t="n">
        <x:v>0</x:v>
      </x:c>
      <x:c r="F7" s="55" t="n">
        <x:f>IF(A7="","",E7-D7)</x:f>
        <x:v>0</x:v>
      </x:c>
      <x:c r="G7" s="54" t="n">
        <x:v>0</x:v>
      </x:c>
      <x:c r="H7" s="54" t="n">
        <x:v>0</x:v>
      </x:c>
      <x:c r="I7" s="55" t="n">
        <x:f>IF(A7="","",H7-G7)</x:f>
        <x:v>0</x:v>
      </x:c>
      <x:c r="J7" s="50" t="n">
        <x:v>0</x:v>
      </x:c>
      <x:c r="K7" s="50" t="n">
        <x:v>0</x:v>
      </x:c>
      <x:c r="L7" s="50" t="str">
        <x:v>[원인]</x:v>
      </x:c>
      <x:c r="M7" s="50" t="str">
        <x:v>[개선 기준]</x:v>
      </x:c>
    </x:row>
    <x:row r="8">
      <x:c r="A8" s="50"/>
      <x:c r="B8" s="50"/>
      <x:c r="C8" s="50"/>
      <x:c r="D8" s="54"/>
      <x:c r="E8" s="54"/>
      <x:c r="F8" s="55" t="str">
        <x:f>IF(A8="","",E8-D8)</x:f>
      </x:c>
      <x:c r="G8" s="54"/>
      <x:c r="H8" s="54"/>
      <x:c r="I8" s="55" t="str">
        <x:f>IF(A8="","",H8-G8)</x:f>
      </x:c>
      <x:c r="J8" s="50"/>
      <x:c r="K8" s="50"/>
      <x:c r="L8" s="50"/>
      <x:c r="M8" s="50"/>
    </x:row>
    <x:row r="9">
      <x:c r="A9" s="50"/>
      <x:c r="B9" s="50"/>
      <x:c r="C9" s="50"/>
      <x:c r="D9" s="54"/>
      <x:c r="E9" s="54"/>
      <x:c r="F9" s="55" t="str">
        <x:f>IF(A9="","",E9-D9)</x:f>
      </x:c>
      <x:c r="G9" s="54"/>
      <x:c r="H9" s="54"/>
      <x:c r="I9" s="55" t="str">
        <x:f>IF(A9="","",H9-G9)</x:f>
      </x:c>
      <x:c r="J9" s="50"/>
      <x:c r="K9" s="50"/>
      <x:c r="L9" s="50"/>
      <x:c r="M9" s="50"/>
    </x:row>
    <x:row r="10">
      <x:c r="A10" s="50"/>
      <x:c r="B10" s="50"/>
      <x:c r="C10" s="50"/>
      <x:c r="D10" s="54"/>
      <x:c r="E10" s="54"/>
      <x:c r="F10" s="55" t="str">
        <x:f>IF(A10="","",E10-D10)</x:f>
      </x:c>
      <x:c r="G10" s="54"/>
      <x:c r="H10" s="54"/>
      <x:c r="I10" s="55" t="str">
        <x:f>IF(A10="","",H10-G10)</x:f>
      </x:c>
      <x:c r="J10" s="50"/>
      <x:c r="K10" s="50"/>
      <x:c r="L10" s="50"/>
      <x:c r="M10" s="50"/>
    </x:row>
    <x:row r="11">
      <x:c r="A11" s="50"/>
      <x:c r="B11" s="50"/>
      <x:c r="C11" s="50"/>
      <x:c r="D11" s="54"/>
      <x:c r="E11" s="54"/>
      <x:c r="F11" s="55" t="str">
        <x:f>IF(A11="","",E11-D11)</x:f>
      </x:c>
      <x:c r="G11" s="54"/>
      <x:c r="H11" s="54"/>
      <x:c r="I11" s="55" t="str">
        <x:f>IF(A11="","",H11-G11)</x:f>
      </x:c>
      <x:c r="J11" s="50"/>
      <x:c r="K11" s="50"/>
      <x:c r="L11" s="50"/>
      <x:c r="M11" s="50"/>
    </x:row>
    <x:row r="12">
      <x:c r="A12" s="50"/>
      <x:c r="B12" s="50"/>
      <x:c r="C12" s="50"/>
      <x:c r="D12" s="54"/>
      <x:c r="E12" s="54"/>
      <x:c r="F12" s="55" t="str">
        <x:f>IF(A12="","",E12-D12)</x:f>
      </x:c>
      <x:c r="G12" s="54"/>
      <x:c r="H12" s="54"/>
      <x:c r="I12" s="55" t="str">
        <x:f>IF(A12="","",H12-G12)</x:f>
      </x:c>
      <x:c r="J12" s="50"/>
      <x:c r="K12" s="50"/>
      <x:c r="L12" s="50"/>
      <x:c r="M12" s="50"/>
    </x:row>
    <x:row r="13">
      <x:c r="A13" s="50"/>
      <x:c r="B13" s="50"/>
      <x:c r="C13" s="50"/>
      <x:c r="D13" s="54"/>
      <x:c r="E13" s="54"/>
      <x:c r="F13" s="55" t="str">
        <x:f>IF(A13="","",E13-D13)</x:f>
      </x:c>
      <x:c r="G13" s="54"/>
      <x:c r="H13" s="54"/>
      <x:c r="I13" s="55" t="str">
        <x:f>IF(A13="","",H13-G13)</x:f>
      </x:c>
      <x:c r="J13" s="50"/>
      <x:c r="K13" s="50"/>
      <x:c r="L13" s="50"/>
      <x:c r="M13" s="50"/>
    </x:row>
    <x:row r="14">
      <x:c r="A14" s="50"/>
      <x:c r="B14" s="50"/>
      <x:c r="C14" s="50"/>
      <x:c r="D14" s="54"/>
      <x:c r="E14" s="54"/>
      <x:c r="F14" s="55" t="str">
        <x:f>IF(A14="","",E14-D14)</x:f>
      </x:c>
      <x:c r="G14" s="54"/>
      <x:c r="H14" s="54"/>
      <x:c r="I14" s="55" t="str">
        <x:f>IF(A14="","",H14-G14)</x:f>
      </x:c>
      <x:c r="J14" s="50"/>
      <x:c r="K14" s="50"/>
      <x:c r="L14" s="50"/>
      <x:c r="M14" s="50"/>
    </x:row>
    <x:row r="15">
      <x:c r="A15" s="50"/>
      <x:c r="B15" s="50"/>
      <x:c r="C15" s="50"/>
      <x:c r="D15" s="54"/>
      <x:c r="E15" s="54"/>
      <x:c r="F15" s="55" t="str">
        <x:f>IF(A15="","",E15-D15)</x:f>
      </x:c>
      <x:c r="G15" s="54"/>
      <x:c r="H15" s="54"/>
      <x:c r="I15" s="55" t="str">
        <x:f>IF(A15="","",H15-G15)</x:f>
      </x:c>
      <x:c r="J15" s="50"/>
      <x:c r="K15" s="50"/>
      <x:c r="L15" s="50"/>
      <x:c r="M15" s="50"/>
    </x:row>
    <x:row r="16">
      <x:c r="A16" s="50"/>
      <x:c r="B16" s="50"/>
      <x:c r="C16" s="50"/>
      <x:c r="D16" s="54"/>
      <x:c r="E16" s="54"/>
      <x:c r="F16" s="55" t="str">
        <x:f>IF(A16="","",E16-D16)</x:f>
      </x:c>
      <x:c r="G16" s="54"/>
      <x:c r="H16" s="54"/>
      <x:c r="I16" s="55" t="str">
        <x:f>IF(A16="","",H16-G16)</x:f>
      </x:c>
      <x:c r="J16" s="50"/>
      <x:c r="K16" s="50"/>
      <x:c r="L16" s="50"/>
      <x:c r="M16" s="50"/>
    </x:row>
    <x:row r="17">
      <x:c r="A17" s="50"/>
      <x:c r="B17" s="50"/>
      <x:c r="C17" s="50"/>
      <x:c r="D17" s="54"/>
      <x:c r="E17" s="54"/>
      <x:c r="F17" s="55" t="str">
        <x:f>IF(A17="","",E17-D17)</x:f>
      </x:c>
      <x:c r="G17" s="54"/>
      <x:c r="H17" s="54"/>
      <x:c r="I17" s="55" t="str">
        <x:f>IF(A17="","",H17-G17)</x:f>
      </x:c>
      <x:c r="J17" s="50"/>
      <x:c r="K17" s="50"/>
      <x:c r="L17" s="50"/>
      <x:c r="M17" s="50"/>
    </x:row>
    <x:row r="18">
      <x:c r="A18" s="50"/>
      <x:c r="B18" s="50"/>
      <x:c r="C18" s="50"/>
      <x:c r="D18" s="54"/>
      <x:c r="E18" s="54"/>
      <x:c r="F18" s="55" t="str">
        <x:f>IF(A18="","",E18-D18)</x:f>
      </x:c>
      <x:c r="G18" s="54"/>
      <x:c r="H18" s="54"/>
      <x:c r="I18" s="55" t="str">
        <x:f>IF(A18="","",H18-G18)</x:f>
      </x:c>
      <x:c r="J18" s="50"/>
      <x:c r="K18" s="50"/>
      <x:c r="L18" s="50"/>
      <x:c r="M18" s="50"/>
    </x:row>
    <x:row r="19">
      <x:c r="A19" s="50"/>
      <x:c r="B19" s="50"/>
      <x:c r="C19" s="50"/>
      <x:c r="D19" s="54"/>
      <x:c r="E19" s="54"/>
      <x:c r="F19" s="55" t="str">
        <x:f>IF(A19="","",E19-D19)</x:f>
      </x:c>
      <x:c r="G19" s="54"/>
      <x:c r="H19" s="54"/>
      <x:c r="I19" s="55" t="str">
        <x:f>IF(A19="","",H19-G19)</x:f>
      </x:c>
      <x:c r="J19" s="50"/>
      <x:c r="K19" s="50"/>
      <x:c r="L19" s="50"/>
      <x:c r="M19" s="50"/>
    </x:row>
    <x:row r="20">
      <x:c r="A20" s="50"/>
      <x:c r="B20" s="50"/>
      <x:c r="C20" s="50"/>
      <x:c r="D20" s="54"/>
      <x:c r="E20" s="54"/>
      <x:c r="F20" s="55" t="str">
        <x:f>IF(A20="","",E20-D20)</x:f>
      </x:c>
      <x:c r="G20" s="54"/>
      <x:c r="H20" s="54"/>
      <x:c r="I20" s="55" t="str">
        <x:f>IF(A20="","",H20-G20)</x:f>
      </x:c>
      <x:c r="J20" s="50"/>
      <x:c r="K20" s="50"/>
      <x:c r="L20" s="50"/>
      <x:c r="M20" s="50"/>
    </x:row>
    <x:row r="21">
      <x:c r="A21" s="50"/>
      <x:c r="B21" s="50"/>
      <x:c r="C21" s="50"/>
      <x:c r="D21" s="54"/>
      <x:c r="E21" s="54"/>
      <x:c r="F21" s="55" t="str">
        <x:f>IF(A21="","",E21-D21)</x:f>
      </x:c>
      <x:c r="G21" s="54"/>
      <x:c r="H21" s="54"/>
      <x:c r="I21" s="55" t="str">
        <x:f>IF(A21="","",H21-G21)</x:f>
      </x:c>
      <x:c r="J21" s="50"/>
      <x:c r="K21" s="50"/>
      <x:c r="L21" s="50"/>
      <x:c r="M21" s="50"/>
    </x:row>
    <x:row r="22">
      <x:c r="A22" s="50"/>
      <x:c r="B22" s="50"/>
      <x:c r="C22" s="50"/>
      <x:c r="D22" s="54"/>
      <x:c r="E22" s="54"/>
      <x:c r="F22" s="55" t="str">
        <x:f>IF(A22="","",E22-D22)</x:f>
      </x:c>
      <x:c r="G22" s="54"/>
      <x:c r="H22" s="54"/>
      <x:c r="I22" s="55" t="str">
        <x:f>IF(A22="","",H22-G22)</x:f>
      </x:c>
      <x:c r="J22" s="50"/>
      <x:c r="K22" s="50"/>
      <x:c r="L22" s="50"/>
      <x:c r="M22" s="50"/>
    </x:row>
    <x:row r="23">
      <x:c r="A23" s="50"/>
      <x:c r="B23" s="50"/>
      <x:c r="C23" s="50"/>
      <x:c r="D23" s="54"/>
      <x:c r="E23" s="54"/>
      <x:c r="F23" s="55" t="str">
        <x:f>IF(A23="","",E23-D23)</x:f>
      </x:c>
      <x:c r="G23" s="54"/>
      <x:c r="H23" s="54"/>
      <x:c r="I23" s="55" t="str">
        <x:f>IF(A23="","",H23-G23)</x:f>
      </x:c>
      <x:c r="J23" s="50"/>
      <x:c r="K23" s="50"/>
      <x:c r="L23" s="50"/>
      <x:c r="M23" s="50"/>
    </x:row>
    <x:row r="24">
      <x:c r="A24" s="50"/>
      <x:c r="B24" s="50"/>
      <x:c r="C24" s="50"/>
      <x:c r="D24" s="54"/>
      <x:c r="E24" s="54"/>
      <x:c r="F24" s="55" t="str">
        <x:f>IF(A24="","",E24-D24)</x:f>
      </x:c>
      <x:c r="G24" s="54"/>
      <x:c r="H24" s="54"/>
      <x:c r="I24" s="55" t="str">
        <x:f>IF(A24="","",H24-G24)</x:f>
      </x:c>
      <x:c r="J24" s="50"/>
      <x:c r="K24" s="50"/>
      <x:c r="L24" s="50"/>
      <x:c r="M24" s="50"/>
    </x:row>
    <x:row r="25">
      <x:c r="A25" s="50"/>
      <x:c r="B25" s="50"/>
      <x:c r="C25" s="50"/>
      <x:c r="D25" s="54"/>
      <x:c r="E25" s="54"/>
      <x:c r="F25" s="55" t="str">
        <x:f>IF(A25="","",E25-D25)</x:f>
      </x:c>
      <x:c r="G25" s="54"/>
      <x:c r="H25" s="54"/>
      <x:c r="I25" s="55" t="str">
        <x:f>IF(A25="","",H25-G25)</x:f>
      </x:c>
      <x:c r="J25" s="50"/>
      <x:c r="K25" s="50"/>
      <x:c r="L25" s="50"/>
      <x:c r="M25" s="50"/>
    </x:row>
    <x:row r="26">
      <x:c r="A26" s="50"/>
      <x:c r="B26" s="50"/>
      <x:c r="C26" s="50"/>
      <x:c r="D26" s="54"/>
      <x:c r="E26" s="54"/>
      <x:c r="F26" s="55" t="str">
        <x:f>IF(A26="","",E26-D26)</x:f>
      </x:c>
      <x:c r="G26" s="54"/>
      <x:c r="H26" s="54"/>
      <x:c r="I26" s="55" t="str">
        <x:f>IF(A26="","",H26-G26)</x:f>
      </x:c>
      <x:c r="J26" s="50"/>
      <x:c r="K26" s="50"/>
      <x:c r="L26" s="50"/>
      <x:c r="M26" s="50"/>
    </x:row>
    <x:row r="27">
      <x:c r="A27" s="50"/>
      <x:c r="B27" s="50"/>
      <x:c r="C27" s="50"/>
      <x:c r="D27" s="54"/>
      <x:c r="E27" s="54"/>
      <x:c r="F27" s="55" t="str">
        <x:f>IF(A27="","",E27-D27)</x:f>
      </x:c>
      <x:c r="G27" s="54"/>
      <x:c r="H27" s="54"/>
      <x:c r="I27" s="55" t="str">
        <x:f>IF(A27="","",H27-G27)</x:f>
      </x:c>
      <x:c r="J27" s="50"/>
      <x:c r="K27" s="50"/>
      <x:c r="L27" s="50"/>
      <x:c r="M27" s="50"/>
    </x:row>
    <x:row r="28">
      <x:c r="A28" s="50"/>
      <x:c r="B28" s="50"/>
      <x:c r="C28" s="50"/>
      <x:c r="D28" s="54"/>
      <x:c r="E28" s="54"/>
      <x:c r="F28" s="55" t="str">
        <x:f>IF(A28="","",E28-D28)</x:f>
      </x:c>
      <x:c r="G28" s="54"/>
      <x:c r="H28" s="54"/>
      <x:c r="I28" s="55" t="str">
        <x:f>IF(A28="","",H28-G28)</x:f>
      </x:c>
      <x:c r="J28" s="50"/>
      <x:c r="K28" s="50"/>
      <x:c r="L28" s="50"/>
      <x:c r="M28" s="50"/>
    </x:row>
    <x:row r="29">
      <x:c r="A29" s="50"/>
      <x:c r="B29" s="50"/>
      <x:c r="C29" s="50"/>
      <x:c r="D29" s="54"/>
      <x:c r="E29" s="54"/>
      <x:c r="F29" s="55" t="str">
        <x:f>IF(A29="","",E29-D29)</x:f>
      </x:c>
      <x:c r="G29" s="54"/>
      <x:c r="H29" s="54"/>
      <x:c r="I29" s="55" t="str">
        <x:f>IF(A29="","",H29-G29)</x:f>
      </x:c>
      <x:c r="J29" s="50"/>
      <x:c r="K29" s="50"/>
      <x:c r="L29" s="50"/>
      <x:c r="M29" s="50"/>
    </x:row>
    <x:row r="30">
      <x:c r="A30" s="50"/>
      <x:c r="B30" s="50"/>
      <x:c r="C30" s="50"/>
      <x:c r="D30" s="54"/>
      <x:c r="E30" s="54"/>
      <x:c r="F30" s="55" t="str">
        <x:f>IF(A30="","",E30-D30)</x:f>
      </x:c>
      <x:c r="G30" s="54"/>
      <x:c r="H30" s="54"/>
      <x:c r="I30" s="55" t="str">
        <x:f>IF(A30="","",H30-G30)</x:f>
      </x:c>
      <x:c r="J30" s="50"/>
      <x:c r="K30" s="50"/>
      <x:c r="L30" s="50"/>
      <x:c r="M30" s="50"/>
    </x:row>
    <x:row r="31">
      <x:c r="A31" s="50"/>
      <x:c r="B31" s="50"/>
      <x:c r="C31" s="50"/>
      <x:c r="D31" s="54"/>
      <x:c r="E31" s="54"/>
      <x:c r="F31" s="55" t="str">
        <x:f>IF(A31="","",E31-D31)</x:f>
      </x:c>
      <x:c r="G31" s="54"/>
      <x:c r="H31" s="54"/>
      <x:c r="I31" s="55" t="str">
        <x:f>IF(A31="","",H31-G31)</x:f>
      </x:c>
      <x:c r="J31" s="50"/>
      <x:c r="K31" s="50"/>
      <x:c r="L31" s="50"/>
      <x:c r="M31" s="50"/>
    </x:row>
    <x:row r="32">
      <x:c r="A32" s="50"/>
      <x:c r="B32" s="50"/>
      <x:c r="C32" s="50"/>
      <x:c r="D32" s="54"/>
      <x:c r="E32" s="54"/>
      <x:c r="F32" s="55" t="str">
        <x:f>IF(A32="","",E32-D32)</x:f>
      </x:c>
      <x:c r="G32" s="54"/>
      <x:c r="H32" s="54"/>
      <x:c r="I32" s="55" t="str">
        <x:f>IF(A32="","",H32-G32)</x:f>
      </x:c>
      <x:c r="J32" s="50"/>
      <x:c r="K32" s="50"/>
      <x:c r="L32" s="50"/>
      <x:c r="M32" s="50"/>
    </x:row>
    <x:row r="33">
      <x:c r="A33" s="50"/>
      <x:c r="B33" s="50"/>
      <x:c r="C33" s="50"/>
      <x:c r="D33" s="54"/>
      <x:c r="E33" s="54"/>
      <x:c r="F33" s="55" t="str">
        <x:f>IF(A33="","",E33-D33)</x:f>
      </x:c>
      <x:c r="G33" s="54"/>
      <x:c r="H33" s="54"/>
      <x:c r="I33" s="55" t="str">
        <x:f>IF(A33="","",H33-G33)</x:f>
      </x:c>
      <x:c r="J33" s="50"/>
      <x:c r="K33" s="50"/>
      <x:c r="L33" s="50"/>
      <x:c r="M33" s="50"/>
    </x:row>
    <x:row r="34">
      <x:c r="A34" s="50"/>
      <x:c r="B34" s="50"/>
      <x:c r="C34" s="50"/>
      <x:c r="D34" s="54"/>
      <x:c r="E34" s="54"/>
      <x:c r="F34" s="55" t="str">
        <x:f>IF(A34="","",E34-D34)</x:f>
      </x:c>
      <x:c r="G34" s="54"/>
      <x:c r="H34" s="54"/>
      <x:c r="I34" s="55" t="str">
        <x:f>IF(A34="","",H34-G34)</x:f>
      </x:c>
      <x:c r="J34" s="50"/>
      <x:c r="K34" s="50"/>
      <x:c r="L34" s="50"/>
      <x:c r="M34" s="50"/>
    </x:row>
    <x:row r="35">
      <x:c r="A35" s="50"/>
      <x:c r="B35" s="50"/>
      <x:c r="C35" s="50"/>
      <x:c r="D35" s="54"/>
      <x:c r="E35" s="54"/>
      <x:c r="F35" s="55" t="str">
        <x:f>IF(A35="","",E35-D35)</x:f>
      </x:c>
      <x:c r="G35" s="54"/>
      <x:c r="H35" s="54"/>
      <x:c r="I35" s="55" t="str">
        <x:f>IF(A35="","",H35-G35)</x:f>
      </x:c>
      <x:c r="J35" s="50"/>
      <x:c r="K35" s="50"/>
      <x:c r="L35" s="50"/>
      <x:c r="M35" s="50"/>
    </x:row>
    <x:row r="36">
      <x:c r="A36" s="50"/>
      <x:c r="B36" s="50"/>
      <x:c r="C36" s="50"/>
      <x:c r="D36" s="54"/>
      <x:c r="E36" s="54"/>
      <x:c r="F36" s="55" t="str">
        <x:f>IF(A36="","",E36-D36)</x:f>
      </x:c>
      <x:c r="G36" s="54"/>
      <x:c r="H36" s="54"/>
      <x:c r="I36" s="55" t="str">
        <x:f>IF(A36="","",H36-G36)</x:f>
      </x:c>
      <x:c r="J36" s="50"/>
      <x:c r="K36" s="50"/>
      <x:c r="L36" s="50"/>
      <x:c r="M36" s="50"/>
    </x:row>
    <x:row r="37">
      <x:c r="A37" s="50"/>
      <x:c r="B37" s="50"/>
      <x:c r="C37" s="50"/>
      <x:c r="D37" s="54"/>
      <x:c r="E37" s="54"/>
      <x:c r="F37" s="55" t="str">
        <x:f>IF(A37="","",E37-D37)</x:f>
      </x:c>
      <x:c r="G37" s="54"/>
      <x:c r="H37" s="54"/>
      <x:c r="I37" s="55" t="str">
        <x:f>IF(A37="","",H37-G37)</x:f>
      </x:c>
      <x:c r="J37" s="50"/>
      <x:c r="K37" s="50"/>
      <x:c r="L37" s="50"/>
      <x:c r="M37" s="50"/>
    </x:row>
    <x:row r="38">
      <x:c r="A38" s="50"/>
      <x:c r="B38" s="50"/>
      <x:c r="C38" s="50"/>
      <x:c r="D38" s="54"/>
      <x:c r="E38" s="54"/>
      <x:c r="F38" s="55" t="str">
        <x:f>IF(A38="","",E38-D38)</x:f>
      </x:c>
      <x:c r="G38" s="54"/>
      <x:c r="H38" s="54"/>
      <x:c r="I38" s="55" t="str">
        <x:f>IF(A38="","",H38-G38)</x:f>
      </x:c>
      <x:c r="J38" s="50"/>
      <x:c r="K38" s="50"/>
      <x:c r="L38" s="50"/>
      <x:c r="M38" s="50"/>
    </x:row>
    <x:row r="39">
      <x:c r="A39" s="50"/>
      <x:c r="B39" s="50"/>
      <x:c r="C39" s="50"/>
      <x:c r="D39" s="54"/>
      <x:c r="E39" s="54"/>
      <x:c r="F39" s="55" t="str">
        <x:f>IF(A39="","",E39-D39)</x:f>
      </x:c>
      <x:c r="G39" s="54"/>
      <x:c r="H39" s="54"/>
      <x:c r="I39" s="55" t="str">
        <x:f>IF(A39="","",H39-G39)</x:f>
      </x:c>
      <x:c r="J39" s="50"/>
      <x:c r="K39" s="50"/>
      <x:c r="L39" s="50"/>
      <x:c r="M39" s="50"/>
    </x:row>
    <x:row r="40">
      <x:c r="A40" s="50"/>
      <x:c r="B40" s="50"/>
      <x:c r="C40" s="50"/>
      <x:c r="D40" s="54"/>
      <x:c r="E40" s="54"/>
      <x:c r="F40" s="55" t="str">
        <x:f>IF(A40="","",E40-D40)</x:f>
      </x:c>
      <x:c r="G40" s="54"/>
      <x:c r="H40" s="54"/>
      <x:c r="I40" s="55" t="str">
        <x:f>IF(A40="","",H40-G40)</x:f>
      </x:c>
      <x:c r="J40" s="50"/>
      <x:c r="K40" s="50"/>
      <x:c r="L40" s="50"/>
      <x:c r="M40" s="50"/>
    </x:row>
    <x:row r="41">
      <x:c r="A41" s="50"/>
      <x:c r="B41" s="50"/>
      <x:c r="C41" s="50"/>
      <x:c r="D41" s="54"/>
      <x:c r="E41" s="54"/>
      <x:c r="F41" s="55" t="str">
        <x:f>IF(A41="","",E41-D41)</x:f>
      </x:c>
      <x:c r="G41" s="54"/>
      <x:c r="H41" s="54"/>
      <x:c r="I41" s="55" t="str">
        <x:f>IF(A41="","",H41-G41)</x:f>
      </x:c>
      <x:c r="J41" s="50"/>
      <x:c r="K41" s="50"/>
      <x:c r="L41" s="50"/>
      <x:c r="M41" s="50"/>
    </x:row>
    <x:row r="42">
      <x:c r="A42" s="50"/>
      <x:c r="B42" s="50"/>
      <x:c r="C42" s="50"/>
      <x:c r="D42" s="54"/>
      <x:c r="E42" s="54"/>
      <x:c r="F42" s="55" t="str">
        <x:f>IF(A42="","",E42-D42)</x:f>
      </x:c>
      <x:c r="G42" s="54"/>
      <x:c r="H42" s="54"/>
      <x:c r="I42" s="55" t="str">
        <x:f>IF(A42="","",H42-G42)</x:f>
      </x:c>
      <x:c r="J42" s="50"/>
      <x:c r="K42" s="50"/>
      <x:c r="L42" s="50"/>
      <x:c r="M42" s="50"/>
    </x:row>
    <x:row r="43">
      <x:c r="A43" s="50"/>
      <x:c r="B43" s="50"/>
      <x:c r="C43" s="50"/>
      <x:c r="D43" s="54"/>
      <x:c r="E43" s="54"/>
      <x:c r="F43" s="55" t="str">
        <x:f>IF(A43="","",E43-D43)</x:f>
      </x:c>
      <x:c r="G43" s="54"/>
      <x:c r="H43" s="54"/>
      <x:c r="I43" s="55" t="str">
        <x:f>IF(A43="","",H43-G43)</x:f>
      </x:c>
      <x:c r="J43" s="50"/>
      <x:c r="K43" s="50"/>
      <x:c r="L43" s="50"/>
      <x:c r="M43" s="50"/>
    </x:row>
    <x:row r="44">
      <x:c r="A44" s="50"/>
      <x:c r="B44" s="50"/>
      <x:c r="C44" s="50"/>
      <x:c r="D44" s="54"/>
      <x:c r="E44" s="54"/>
      <x:c r="F44" s="55" t="str">
        <x:f>IF(A44="","",E44-D44)</x:f>
      </x:c>
      <x:c r="G44" s="54"/>
      <x:c r="H44" s="54"/>
      <x:c r="I44" s="55" t="str">
        <x:f>IF(A44="","",H44-G44)</x:f>
      </x:c>
      <x:c r="J44" s="50"/>
      <x:c r="K44" s="50"/>
      <x:c r="L44" s="50"/>
      <x:c r="M44" s="50"/>
    </x:row>
    <x:row r="45">
      <x:c r="A45" s="50"/>
      <x:c r="B45" s="50"/>
      <x:c r="C45" s="50"/>
      <x:c r="D45" s="54"/>
      <x:c r="E45" s="54"/>
      <x:c r="F45" s="55" t="str">
        <x:f>IF(A45="","",E45-D45)</x:f>
      </x:c>
      <x:c r="G45" s="54"/>
      <x:c r="H45" s="54"/>
      <x:c r="I45" s="55" t="str">
        <x:f>IF(A45="","",H45-G45)</x:f>
      </x:c>
      <x:c r="J45" s="50"/>
      <x:c r="K45" s="50"/>
      <x:c r="L45" s="50"/>
      <x:c r="M45" s="50"/>
    </x:row>
    <x:row r="46">
      <x:c r="A46" s="50"/>
      <x:c r="B46" s="50"/>
      <x:c r="C46" s="50"/>
      <x:c r="D46" s="54"/>
      <x:c r="E46" s="54"/>
      <x:c r="F46" s="55" t="str">
        <x:f>IF(A46="","",E46-D46)</x:f>
      </x:c>
      <x:c r="G46" s="54"/>
      <x:c r="H46" s="54"/>
      <x:c r="I46" s="55" t="str">
        <x:f>IF(A46="","",H46-G46)</x:f>
      </x:c>
      <x:c r="J46" s="50"/>
      <x:c r="K46" s="50"/>
      <x:c r="L46" s="50"/>
      <x:c r="M46" s="50"/>
    </x:row>
    <x:row r="47">
      <x:c r="A47" s="50"/>
      <x:c r="B47" s="50"/>
      <x:c r="C47" s="50"/>
      <x:c r="D47" s="54"/>
      <x:c r="E47" s="54"/>
      <x:c r="F47" s="55" t="str">
        <x:f>IF(A47="","",E47-D47)</x:f>
      </x:c>
      <x:c r="G47" s="54"/>
      <x:c r="H47" s="54"/>
      <x:c r="I47" s="55" t="str">
        <x:f>IF(A47="","",H47-G47)</x:f>
      </x:c>
      <x:c r="J47" s="50"/>
      <x:c r="K47" s="50"/>
      <x:c r="L47" s="50"/>
      <x:c r="M47" s="50"/>
    </x:row>
    <x:row r="48">
      <x:c r="A48" s="50"/>
      <x:c r="B48" s="50"/>
      <x:c r="C48" s="50"/>
      <x:c r="D48" s="54"/>
      <x:c r="E48" s="54"/>
      <x:c r="F48" s="55" t="str">
        <x:f>IF(A48="","",E48-D48)</x:f>
      </x:c>
      <x:c r="G48" s="54"/>
      <x:c r="H48" s="54"/>
      <x:c r="I48" s="55" t="str">
        <x:f>IF(A48="","",H48-G48)</x:f>
      </x:c>
      <x:c r="J48" s="50"/>
      <x:c r="K48" s="50"/>
      <x:c r="L48" s="50"/>
      <x:c r="M48" s="50"/>
    </x:row>
    <x:row r="49">
      <x:c r="A49" s="50"/>
      <x:c r="B49" s="50"/>
      <x:c r="C49" s="50"/>
      <x:c r="D49" s="54"/>
      <x:c r="E49" s="54"/>
      <x:c r="F49" s="55" t="str">
        <x:f>IF(A49="","",E49-D49)</x:f>
      </x:c>
      <x:c r="G49" s="54"/>
      <x:c r="H49" s="54"/>
      <x:c r="I49" s="55" t="str">
        <x:f>IF(A49="","",H49-G49)</x:f>
      </x:c>
      <x:c r="J49" s="50"/>
      <x:c r="K49" s="50"/>
      <x:c r="L49" s="50"/>
      <x:c r="M49" s="50"/>
    </x:row>
    <x:row r="50">
      <x:c r="A50" s="50"/>
      <x:c r="B50" s="50"/>
      <x:c r="C50" s="50"/>
      <x:c r="D50" s="54"/>
      <x:c r="E50" s="54"/>
      <x:c r="F50" s="55" t="str">
        <x:f>IF(A50="","",E50-D50)</x:f>
      </x:c>
      <x:c r="G50" s="54"/>
      <x:c r="H50" s="54"/>
      <x:c r="I50" s="55" t="str">
        <x:f>IF(A50="","",H50-G50)</x:f>
      </x:c>
      <x:c r="J50" s="50"/>
      <x:c r="K50" s="50"/>
      <x:c r="L50" s="50"/>
      <x:c r="M50" s="50"/>
    </x:row>
    <x:row r="51">
      <x:c r="A51" s="50"/>
      <x:c r="B51" s="50"/>
      <x:c r="C51" s="50"/>
      <x:c r="D51" s="54"/>
      <x:c r="E51" s="54"/>
      <x:c r="F51" s="55" t="str">
        <x:f>IF(A51="","",E51-D51)</x:f>
      </x:c>
      <x:c r="G51" s="54"/>
      <x:c r="H51" s="54"/>
      <x:c r="I51" s="55" t="str">
        <x:f>IF(A51="","",H51-G51)</x:f>
      </x:c>
      <x:c r="J51" s="50"/>
      <x:c r="K51" s="50"/>
      <x:c r="L51" s="50"/>
      <x:c r="M51" s="50"/>
    </x:row>
    <x:row r="52">
      <x:c r="A52" s="50"/>
      <x:c r="B52" s="50"/>
      <x:c r="C52" s="50"/>
      <x:c r="D52" s="54"/>
      <x:c r="E52" s="54"/>
      <x:c r="F52" s="55" t="str">
        <x:f>IF(A52="","",E52-D52)</x:f>
      </x:c>
      <x:c r="G52" s="54"/>
      <x:c r="H52" s="54"/>
      <x:c r="I52" s="55" t="str">
        <x:f>IF(A52="","",H52-G52)</x:f>
      </x:c>
      <x:c r="J52" s="50"/>
      <x:c r="K52" s="50"/>
      <x:c r="L52" s="50"/>
      <x:c r="M52" s="50"/>
    </x:row>
    <x:row r="53">
      <x:c r="A53" s="50"/>
      <x:c r="B53" s="50"/>
      <x:c r="C53" s="50"/>
      <x:c r="D53" s="54"/>
      <x:c r="E53" s="54"/>
      <x:c r="F53" s="55" t="str">
        <x:f>IF(A53="","",E53-D53)</x:f>
      </x:c>
      <x:c r="G53" s="54"/>
      <x:c r="H53" s="54"/>
      <x:c r="I53" s="55" t="str">
        <x:f>IF(A53="","",H53-G53)</x:f>
      </x:c>
      <x:c r="J53" s="50"/>
      <x:c r="K53" s="50"/>
      <x:c r="L53" s="50"/>
      <x:c r="M53" s="50"/>
    </x:row>
    <x:row r="54">
      <x:c r="A54" s="50"/>
      <x:c r="B54" s="50"/>
      <x:c r="C54" s="50"/>
      <x:c r="D54" s="54"/>
      <x:c r="E54" s="54"/>
      <x:c r="F54" s="55" t="str">
        <x:f>IF(A54="","",E54-D54)</x:f>
      </x:c>
      <x:c r="G54" s="54"/>
      <x:c r="H54" s="54"/>
      <x:c r="I54" s="55" t="str">
        <x:f>IF(A54="","",H54-G54)</x:f>
      </x:c>
      <x:c r="J54" s="50"/>
      <x:c r="K54" s="50"/>
      <x:c r="L54" s="50"/>
      <x:c r="M54" s="50"/>
    </x:row>
    <x:row r="55">
      <x:c r="A55" s="50"/>
      <x:c r="B55" s="50"/>
      <x:c r="C55" s="50"/>
      <x:c r="D55" s="54"/>
      <x:c r="E55" s="54"/>
      <x:c r="F55" s="55" t="str">
        <x:f>IF(A55="","",E55-D55)</x:f>
      </x:c>
      <x:c r="G55" s="54"/>
      <x:c r="H55" s="54"/>
      <x:c r="I55" s="55" t="str">
        <x:f>IF(A55="","",H55-G55)</x:f>
      </x:c>
      <x:c r="J55" s="50"/>
      <x:c r="K55" s="50"/>
      <x:c r="L55" s="50"/>
      <x:c r="M55" s="50"/>
    </x:row>
    <x:row r="56">
      <x:c r="A56" s="50"/>
      <x:c r="B56" s="50"/>
      <x:c r="C56" s="50"/>
      <x:c r="D56" s="54"/>
      <x:c r="E56" s="54"/>
      <x:c r="F56" s="55" t="str">
        <x:f>IF(A56="","",E56-D56)</x:f>
      </x:c>
      <x:c r="G56" s="54"/>
      <x:c r="H56" s="54"/>
      <x:c r="I56" s="55" t="str">
        <x:f>IF(A56="","",H56-G56)</x:f>
      </x:c>
      <x:c r="J56" s="50"/>
      <x:c r="K56" s="50"/>
      <x:c r="L56" s="50"/>
      <x:c r="M56" s="50"/>
    </x:row>
    <x:row r="57">
      <x:c r="A57" s="50"/>
      <x:c r="B57" s="50"/>
      <x:c r="C57" s="50"/>
      <x:c r="D57" s="54"/>
      <x:c r="E57" s="54"/>
      <x:c r="F57" s="55" t="str">
        <x:f>IF(A57="","",E57-D57)</x:f>
      </x:c>
      <x:c r="G57" s="54"/>
      <x:c r="H57" s="54"/>
      <x:c r="I57" s="55" t="str">
        <x:f>IF(A57="","",H57-G57)</x:f>
      </x:c>
      <x:c r="J57" s="50"/>
      <x:c r="K57" s="50"/>
      <x:c r="L57" s="50"/>
      <x:c r="M57" s="50"/>
    </x:row>
    <x:row r="58">
      <x:c r="A58" s="50"/>
      <x:c r="B58" s="50"/>
      <x:c r="C58" s="50"/>
      <x:c r="D58" s="54"/>
      <x:c r="E58" s="54"/>
      <x:c r="F58" s="55" t="str">
        <x:f>IF(A58="","",E58-D58)</x:f>
      </x:c>
      <x:c r="G58" s="54"/>
      <x:c r="H58" s="54"/>
      <x:c r="I58" s="55" t="str">
        <x:f>IF(A58="","",H58-G58)</x:f>
      </x:c>
      <x:c r="J58" s="50"/>
      <x:c r="K58" s="50"/>
      <x:c r="L58" s="50"/>
      <x:c r="M58" s="50"/>
    </x:row>
    <x:row r="59">
      <x:c r="A59" s="50"/>
      <x:c r="B59" s="50"/>
      <x:c r="C59" s="50"/>
      <x:c r="D59" s="54"/>
      <x:c r="E59" s="54"/>
      <x:c r="F59" s="55" t="str">
        <x:f>IF(A59="","",E59-D59)</x:f>
      </x:c>
      <x:c r="G59" s="54"/>
      <x:c r="H59" s="54"/>
      <x:c r="I59" s="55" t="str">
        <x:f>IF(A59="","",H59-G59)</x:f>
      </x:c>
      <x:c r="J59" s="50"/>
      <x:c r="K59" s="50"/>
      <x:c r="L59" s="50"/>
      <x:c r="M59" s="50"/>
    </x:row>
    <x:row r="60">
      <x:c r="A60" s="50"/>
      <x:c r="B60" s="50"/>
      <x:c r="C60" s="50"/>
      <x:c r="D60" s="54"/>
      <x:c r="E60" s="54"/>
      <x:c r="F60" s="55" t="str">
        <x:f>IF(A60="","",E60-D60)</x:f>
      </x:c>
      <x:c r="G60" s="54"/>
      <x:c r="H60" s="54"/>
      <x:c r="I60" s="55" t="str">
        <x:f>IF(A60="","",H60-G60)</x:f>
      </x:c>
      <x:c r="J60" s="50"/>
      <x:c r="K60" s="50"/>
      <x:c r="L60" s="50"/>
      <x:c r="M60" s="50"/>
    </x:row>
    <x:row r="61">
      <x:c r="A61" s="50"/>
      <x:c r="B61" s="50"/>
      <x:c r="C61" s="50"/>
      <x:c r="D61" s="54"/>
      <x:c r="E61" s="54"/>
      <x:c r="F61" s="55" t="str">
        <x:f>IF(A61="","",E61-D61)</x:f>
      </x:c>
      <x:c r="G61" s="54"/>
      <x:c r="H61" s="54"/>
      <x:c r="I61" s="55" t="str">
        <x:f>IF(A61="","",H61-G61)</x:f>
      </x:c>
      <x:c r="J61" s="50"/>
      <x:c r="K61" s="50"/>
      <x:c r="L61" s="50"/>
      <x:c r="M61" s="50"/>
    </x:row>
    <x:row r="62">
      <x:c r="A62" s="50"/>
      <x:c r="B62" s="50"/>
      <x:c r="C62" s="50"/>
      <x:c r="D62" s="54"/>
      <x:c r="E62" s="54"/>
      <x:c r="F62" s="55" t="str">
        <x:f>IF(A62="","",E62-D62)</x:f>
      </x:c>
      <x:c r="G62" s="54"/>
      <x:c r="H62" s="54"/>
      <x:c r="I62" s="55" t="str">
        <x:f>IF(A62="","",H62-G62)</x:f>
      </x:c>
      <x:c r="J62" s="50"/>
      <x:c r="K62" s="50"/>
      <x:c r="L62" s="50"/>
      <x:c r="M62" s="50"/>
    </x:row>
    <x:row r="63">
      <x:c r="A63" s="50"/>
      <x:c r="B63" s="50"/>
      <x:c r="C63" s="50"/>
      <x:c r="D63" s="54"/>
      <x:c r="E63" s="54"/>
      <x:c r="F63" s="55" t="str">
        <x:f>IF(A63="","",E63-D63)</x:f>
      </x:c>
      <x:c r="G63" s="54"/>
      <x:c r="H63" s="54"/>
      <x:c r="I63" s="55" t="str">
        <x:f>IF(A63="","",H63-G63)</x:f>
      </x:c>
      <x:c r="J63" s="50"/>
      <x:c r="K63" s="50"/>
      <x:c r="L63" s="50"/>
      <x:c r="M63" s="50"/>
    </x:row>
    <x:row r="64">
      <x:c r="A64" s="50"/>
      <x:c r="B64" s="50"/>
      <x:c r="C64" s="50"/>
      <x:c r="D64" s="54"/>
      <x:c r="E64" s="54"/>
      <x:c r="F64" s="55" t="str">
        <x:f>IF(A64="","",E64-D64)</x:f>
      </x:c>
      <x:c r="G64" s="54"/>
      <x:c r="H64" s="54"/>
      <x:c r="I64" s="55" t="str">
        <x:f>IF(A64="","",H64-G64)</x:f>
      </x:c>
      <x:c r="J64" s="50"/>
      <x:c r="K64" s="50"/>
      <x:c r="L64" s="50"/>
      <x:c r="M64" s="50"/>
    </x:row>
    <x:row r="65">
      <x:c r="A65" s="50"/>
      <x:c r="B65" s="50"/>
      <x:c r="C65" s="50"/>
      <x:c r="D65" s="54"/>
      <x:c r="E65" s="54"/>
      <x:c r="F65" s="55" t="str">
        <x:f>IF(A65="","",E65-D65)</x:f>
      </x:c>
      <x:c r="G65" s="54"/>
      <x:c r="H65" s="54"/>
      <x:c r="I65" s="55" t="str">
        <x:f>IF(A65="","",H65-G65)</x:f>
      </x:c>
      <x:c r="J65" s="50"/>
      <x:c r="K65" s="50"/>
      <x:c r="L65" s="50"/>
      <x:c r="M65" s="50"/>
    </x:row>
    <x:row r="66">
      <x:c r="A66" s="50"/>
      <x:c r="B66" s="50"/>
      <x:c r="C66" s="50"/>
      <x:c r="D66" s="54"/>
      <x:c r="E66" s="54"/>
      <x:c r="F66" s="55" t="str">
        <x:f>IF(A66="","",E66-D66)</x:f>
      </x:c>
      <x:c r="G66" s="54"/>
      <x:c r="H66" s="54"/>
      <x:c r="I66" s="55" t="str">
        <x:f>IF(A66="","",H66-G66)</x:f>
      </x:c>
      <x:c r="J66" s="50"/>
      <x:c r="K66" s="50"/>
      <x:c r="L66" s="50"/>
      <x:c r="M66" s="50"/>
    </x:row>
    <x:row r="67">
      <x:c r="A67" s="50"/>
      <x:c r="B67" s="50"/>
      <x:c r="C67" s="50"/>
      <x:c r="D67" s="54"/>
      <x:c r="E67" s="54"/>
      <x:c r="F67" s="55" t="str">
        <x:f>IF(A67="","",E67-D67)</x:f>
      </x:c>
      <x:c r="G67" s="54"/>
      <x:c r="H67" s="54"/>
      <x:c r="I67" s="55" t="str">
        <x:f>IF(A67="","",H67-G67)</x:f>
      </x:c>
      <x:c r="J67" s="50"/>
      <x:c r="K67" s="50"/>
      <x:c r="L67" s="50"/>
      <x:c r="M67" s="50"/>
    </x:row>
    <x:row r="68">
      <x:c r="A68" s="50"/>
      <x:c r="B68" s="50"/>
      <x:c r="C68" s="50"/>
      <x:c r="D68" s="54"/>
      <x:c r="E68" s="54"/>
      <x:c r="F68" s="55" t="str">
        <x:f>IF(A68="","",E68-D68)</x:f>
      </x:c>
      <x:c r="G68" s="54"/>
      <x:c r="H68" s="54"/>
      <x:c r="I68" s="55" t="str">
        <x:f>IF(A68="","",H68-G68)</x:f>
      </x:c>
      <x:c r="J68" s="50"/>
      <x:c r="K68" s="50"/>
      <x:c r="L68" s="50"/>
      <x:c r="M68" s="50"/>
    </x:row>
    <x:row r="69">
      <x:c r="A69" s="50"/>
      <x:c r="B69" s="50"/>
      <x:c r="C69" s="50"/>
      <x:c r="D69" s="54"/>
      <x:c r="E69" s="54"/>
      <x:c r="F69" s="55" t="str">
        <x:f>IF(A69="","",E69-D69)</x:f>
      </x:c>
      <x:c r="G69" s="54"/>
      <x:c r="H69" s="54"/>
      <x:c r="I69" s="55" t="str">
        <x:f>IF(A69="","",H69-G69)</x:f>
      </x:c>
      <x:c r="J69" s="50"/>
      <x:c r="K69" s="50"/>
      <x:c r="L69" s="50"/>
      <x:c r="M69" s="50"/>
    </x:row>
    <x:row r="70">
      <x:c r="A70" s="50"/>
      <x:c r="B70" s="50"/>
      <x:c r="C70" s="50"/>
      <x:c r="D70" s="54"/>
      <x:c r="E70" s="54"/>
      <x:c r="F70" s="55" t="str">
        <x:f>IF(A70="","",E70-D70)</x:f>
      </x:c>
      <x:c r="G70" s="54"/>
      <x:c r="H70" s="54"/>
      <x:c r="I70" s="55" t="str">
        <x:f>IF(A70="","",H70-G70)</x:f>
      </x:c>
      <x:c r="J70" s="50"/>
      <x:c r="K70" s="50"/>
      <x:c r="L70" s="50"/>
      <x:c r="M70" s="50"/>
    </x:row>
    <x:row r="71">
      <x:c r="A71" s="50"/>
      <x:c r="B71" s="50"/>
      <x:c r="C71" s="50"/>
      <x:c r="D71" s="54"/>
      <x:c r="E71" s="54"/>
      <x:c r="F71" s="55" t="str">
        <x:f>IF(A71="","",E71-D71)</x:f>
      </x:c>
      <x:c r="G71" s="54"/>
      <x:c r="H71" s="54"/>
      <x:c r="I71" s="55" t="str">
        <x:f>IF(A71="","",H71-G71)</x:f>
      </x:c>
      <x:c r="J71" s="50"/>
      <x:c r="K71" s="50"/>
      <x:c r="L71" s="50"/>
      <x:c r="M71" s="50"/>
    </x:row>
    <x:row r="72">
      <x:c r="A72" s="50"/>
      <x:c r="B72" s="50"/>
      <x:c r="C72" s="50"/>
      <x:c r="D72" s="54"/>
      <x:c r="E72" s="54"/>
      <x:c r="F72" s="55" t="str">
        <x:f>IF(A72="","",E72-D72)</x:f>
      </x:c>
      <x:c r="G72" s="54"/>
      <x:c r="H72" s="54"/>
      <x:c r="I72" s="55" t="str">
        <x:f>IF(A72="","",H72-G72)</x:f>
      </x:c>
      <x:c r="J72" s="50"/>
      <x:c r="K72" s="50"/>
      <x:c r="L72" s="50"/>
      <x:c r="M72" s="50"/>
    </x:row>
    <x:row r="73">
      <x:c r="A73" s="50"/>
      <x:c r="B73" s="50"/>
      <x:c r="C73" s="50"/>
      <x:c r="D73" s="54"/>
      <x:c r="E73" s="54"/>
      <x:c r="F73" s="55" t="str">
        <x:f>IF(A73="","",E73-D73)</x:f>
      </x:c>
      <x:c r="G73" s="54"/>
      <x:c r="H73" s="54"/>
      <x:c r="I73" s="55" t="str">
        <x:f>IF(A73="","",H73-G73)</x:f>
      </x:c>
      <x:c r="J73" s="50"/>
      <x:c r="K73" s="50"/>
      <x:c r="L73" s="50"/>
      <x:c r="M73" s="50"/>
    </x:row>
    <x:row r="74">
      <x:c r="A74" s="50"/>
      <x:c r="B74" s="50"/>
      <x:c r="C74" s="50"/>
      <x:c r="D74" s="54"/>
      <x:c r="E74" s="54"/>
      <x:c r="F74" s="55" t="str">
        <x:f>IF(A74="","",E74-D74)</x:f>
      </x:c>
      <x:c r="G74" s="54"/>
      <x:c r="H74" s="54"/>
      <x:c r="I74" s="55" t="str">
        <x:f>IF(A74="","",H74-G74)</x:f>
      </x:c>
      <x:c r="J74" s="50"/>
      <x:c r="K74" s="50"/>
      <x:c r="L74" s="50"/>
      <x:c r="M74" s="50"/>
    </x:row>
    <x:row r="75">
      <x:c r="A75" s="50"/>
      <x:c r="B75" s="50"/>
      <x:c r="C75" s="50"/>
      <x:c r="D75" s="54"/>
      <x:c r="E75" s="54"/>
      <x:c r="F75" s="55" t="str">
        <x:f>IF(A75="","",E75-D75)</x:f>
      </x:c>
      <x:c r="G75" s="54"/>
      <x:c r="H75" s="54"/>
      <x:c r="I75" s="55" t="str">
        <x:f>IF(A75="","",H75-G75)</x:f>
      </x:c>
      <x:c r="J75" s="50"/>
      <x:c r="K75" s="50"/>
      <x:c r="L75" s="50"/>
      <x:c r="M75" s="50"/>
    </x:row>
    <x:row r="76">
      <x:c r="A76" s="50"/>
      <x:c r="B76" s="50"/>
      <x:c r="C76" s="50"/>
      <x:c r="D76" s="54"/>
      <x:c r="E76" s="54"/>
      <x:c r="F76" s="55" t="str">
        <x:f>IF(A76="","",E76-D76)</x:f>
      </x:c>
      <x:c r="G76" s="54"/>
      <x:c r="H76" s="54"/>
      <x:c r="I76" s="55" t="str">
        <x:f>IF(A76="","",H76-G76)</x:f>
      </x:c>
      <x:c r="J76" s="50"/>
      <x:c r="K76" s="50"/>
      <x:c r="L76" s="50"/>
      <x:c r="M76" s="50"/>
    </x:row>
    <x:row r="77">
      <x:c r="A77" s="50"/>
      <x:c r="B77" s="50"/>
      <x:c r="C77" s="50"/>
      <x:c r="D77" s="54"/>
      <x:c r="E77" s="54"/>
      <x:c r="F77" s="55" t="str">
        <x:f>IF(A77="","",E77-D77)</x:f>
      </x:c>
      <x:c r="G77" s="54"/>
      <x:c r="H77" s="54"/>
      <x:c r="I77" s="55" t="str">
        <x:f>IF(A77="","",H77-G77)</x:f>
      </x:c>
      <x:c r="J77" s="50"/>
      <x:c r="K77" s="50"/>
      <x:c r="L77" s="50"/>
      <x:c r="M77" s="50"/>
    </x:row>
    <x:row r="78">
      <x:c r="A78" s="50"/>
      <x:c r="B78" s="50"/>
      <x:c r="C78" s="50"/>
      <x:c r="D78" s="54"/>
      <x:c r="E78" s="54"/>
      <x:c r="F78" s="55" t="str">
        <x:f>IF(A78="","",E78-D78)</x:f>
      </x:c>
      <x:c r="G78" s="54"/>
      <x:c r="H78" s="54"/>
      <x:c r="I78" s="55" t="str">
        <x:f>IF(A78="","",H78-G78)</x:f>
      </x:c>
      <x:c r="J78" s="50"/>
      <x:c r="K78" s="50"/>
      <x:c r="L78" s="50"/>
      <x:c r="M78" s="50"/>
    </x:row>
    <x:row r="79">
      <x:c r="A79" s="50"/>
      <x:c r="B79" s="50"/>
      <x:c r="C79" s="50"/>
      <x:c r="D79" s="54"/>
      <x:c r="E79" s="54"/>
      <x:c r="F79" s="55" t="str">
        <x:f>IF(A79="","",E79-D79)</x:f>
      </x:c>
      <x:c r="G79" s="54"/>
      <x:c r="H79" s="54"/>
      <x:c r="I79" s="55" t="str">
        <x:f>IF(A79="","",H79-G79)</x:f>
      </x:c>
      <x:c r="J79" s="50"/>
      <x:c r="K79" s="50"/>
      <x:c r="L79" s="50"/>
      <x:c r="M79" s="50"/>
    </x:row>
    <x:row r="80">
      <x:c r="A80" s="50"/>
      <x:c r="B80" s="50"/>
      <x:c r="C80" s="50"/>
      <x:c r="D80" s="54"/>
      <x:c r="E80" s="54"/>
      <x:c r="F80" s="55" t="str">
        <x:f>IF(A80="","",E80-D80)</x:f>
      </x:c>
      <x:c r="G80" s="54"/>
      <x:c r="H80" s="54"/>
      <x:c r="I80" s="55" t="str">
        <x:f>IF(A80="","",H80-G80)</x:f>
      </x:c>
      <x:c r="J80" s="50"/>
      <x:c r="K80" s="50"/>
      <x:c r="L80" s="50"/>
      <x:c r="M80" s="50"/>
    </x:row>
    <x:row r="81">
      <x:c r="A81" s="50"/>
      <x:c r="B81" s="50"/>
      <x:c r="C81" s="50"/>
      <x:c r="D81" s="54"/>
      <x:c r="E81" s="54"/>
      <x:c r="F81" s="55" t="str">
        <x:f>IF(A81="","",E81-D81)</x:f>
      </x:c>
      <x:c r="G81" s="54"/>
      <x:c r="H81" s="54"/>
      <x:c r="I81" s="55" t="str">
        <x:f>IF(A81="","",H81-G81)</x:f>
      </x:c>
      <x:c r="J81" s="50"/>
      <x:c r="K81" s="50"/>
      <x:c r="L81" s="50"/>
      <x:c r="M81" s="50"/>
    </x:row>
    <x:row r="82">
      <x:c r="A82" s="50"/>
      <x:c r="B82" s="50"/>
      <x:c r="C82" s="50"/>
      <x:c r="D82" s="54"/>
      <x:c r="E82" s="54"/>
      <x:c r="F82" s="55" t="str">
        <x:f>IF(A82="","",E82-D82)</x:f>
      </x:c>
      <x:c r="G82" s="54"/>
      <x:c r="H82" s="54"/>
      <x:c r="I82" s="55" t="str">
        <x:f>IF(A82="","",H82-G82)</x:f>
      </x:c>
      <x:c r="J82" s="50"/>
      <x:c r="K82" s="50"/>
      <x:c r="L82" s="50"/>
      <x:c r="M82" s="50"/>
    </x:row>
    <x:row r="83">
      <x:c r="A83" s="50"/>
      <x:c r="B83" s="50"/>
      <x:c r="C83" s="50"/>
      <x:c r="D83" s="54"/>
      <x:c r="E83" s="54"/>
      <x:c r="F83" s="55" t="str">
        <x:f>IF(A83="","",E83-D83)</x:f>
      </x:c>
      <x:c r="G83" s="54"/>
      <x:c r="H83" s="54"/>
      <x:c r="I83" s="55" t="str">
        <x:f>IF(A83="","",H83-G83)</x:f>
      </x:c>
      <x:c r="J83" s="50"/>
      <x:c r="K83" s="50"/>
      <x:c r="L83" s="50"/>
      <x:c r="M83" s="50"/>
    </x:row>
    <x:row r="84">
      <x:c r="A84" s="50"/>
      <x:c r="B84" s="50"/>
      <x:c r="C84" s="50"/>
      <x:c r="D84" s="54"/>
      <x:c r="E84" s="54"/>
      <x:c r="F84" s="55" t="str">
        <x:f>IF(A84="","",E84-D84)</x:f>
      </x:c>
      <x:c r="G84" s="54"/>
      <x:c r="H84" s="54"/>
      <x:c r="I84" s="55" t="str">
        <x:f>IF(A84="","",H84-G84)</x:f>
      </x:c>
      <x:c r="J84" s="50"/>
      <x:c r="K84" s="50"/>
      <x:c r="L84" s="50"/>
      <x:c r="M84" s="50"/>
    </x:row>
    <x:row r="85">
      <x:c r="A85" s="50"/>
      <x:c r="B85" s="50"/>
      <x:c r="C85" s="50"/>
      <x:c r="D85" s="54"/>
      <x:c r="E85" s="54"/>
      <x:c r="F85" s="55" t="str">
        <x:f>IF(A85="","",E85-D85)</x:f>
      </x:c>
      <x:c r="G85" s="54"/>
      <x:c r="H85" s="54"/>
      <x:c r="I85" s="55" t="str">
        <x:f>IF(A85="","",H85-G85)</x:f>
      </x:c>
      <x:c r="J85" s="50"/>
      <x:c r="K85" s="50"/>
      <x:c r="L85" s="50"/>
      <x:c r="M85" s="50"/>
    </x:row>
    <x:row r="86">
      <x:c r="A86" s="50"/>
      <x:c r="B86" s="50"/>
      <x:c r="C86" s="50"/>
      <x:c r="D86" s="54"/>
      <x:c r="E86" s="54"/>
      <x:c r="F86" s="55" t="str">
        <x:f>IF(A86="","",E86-D86)</x:f>
      </x:c>
      <x:c r="G86" s="54"/>
      <x:c r="H86" s="54"/>
      <x:c r="I86" s="55" t="str">
        <x:f>IF(A86="","",H86-G86)</x:f>
      </x:c>
      <x:c r="J86" s="50"/>
      <x:c r="K86" s="50"/>
      <x:c r="L86" s="50"/>
      <x:c r="M86" s="50"/>
    </x:row>
    <x:row r="87">
      <x:c r="A87" s="50"/>
      <x:c r="B87" s="50"/>
      <x:c r="C87" s="50"/>
      <x:c r="D87" s="54"/>
      <x:c r="E87" s="54"/>
      <x:c r="F87" s="55" t="str">
        <x:f>IF(A87="","",E87-D87)</x:f>
      </x:c>
      <x:c r="G87" s="54"/>
      <x:c r="H87" s="54"/>
      <x:c r="I87" s="55" t="str">
        <x:f>IF(A87="","",H87-G87)</x:f>
      </x:c>
      <x:c r="J87" s="50"/>
      <x:c r="K87" s="50"/>
      <x:c r="L87" s="50"/>
      <x:c r="M87" s="50"/>
    </x:row>
    <x:row r="88">
      <x:c r="A88" s="50"/>
      <x:c r="B88" s="50"/>
      <x:c r="C88" s="50"/>
      <x:c r="D88" s="54"/>
      <x:c r="E88" s="54"/>
      <x:c r="F88" s="55" t="str">
        <x:f>IF(A88="","",E88-D88)</x:f>
      </x:c>
      <x:c r="G88" s="54"/>
      <x:c r="H88" s="54"/>
      <x:c r="I88" s="55" t="str">
        <x:f>IF(A88="","",H88-G88)</x:f>
      </x:c>
      <x:c r="J88" s="50"/>
      <x:c r="K88" s="50"/>
      <x:c r="L88" s="50"/>
      <x:c r="M88" s="50"/>
    </x:row>
    <x:row r="89">
      <x:c r="A89" s="50"/>
      <x:c r="B89" s="50"/>
      <x:c r="C89" s="50"/>
      <x:c r="D89" s="54"/>
      <x:c r="E89" s="54"/>
      <x:c r="F89" s="55" t="str">
        <x:f>IF(A89="","",E89-D89)</x:f>
      </x:c>
      <x:c r="G89" s="54"/>
      <x:c r="H89" s="54"/>
      <x:c r="I89" s="55" t="str">
        <x:f>IF(A89="","",H89-G89)</x:f>
      </x:c>
      <x:c r="J89" s="50"/>
      <x:c r="K89" s="50"/>
      <x:c r="L89" s="50"/>
      <x:c r="M89" s="50"/>
    </x:row>
    <x:row r="90">
      <x:c r="A90" s="50"/>
      <x:c r="B90" s="50"/>
      <x:c r="C90" s="50"/>
      <x:c r="D90" s="54"/>
      <x:c r="E90" s="54"/>
      <x:c r="F90" s="55" t="str">
        <x:f>IF(A90="","",E90-D90)</x:f>
      </x:c>
      <x:c r="G90" s="54"/>
      <x:c r="H90" s="54"/>
      <x:c r="I90" s="55" t="str">
        <x:f>IF(A90="","",H90-G90)</x:f>
      </x:c>
      <x:c r="J90" s="50"/>
      <x:c r="K90" s="50"/>
      <x:c r="L90" s="50"/>
      <x:c r="M90" s="50"/>
    </x:row>
    <x:row r="91">
      <x:c r="A91" s="50"/>
      <x:c r="B91" s="50"/>
      <x:c r="C91" s="50"/>
      <x:c r="D91" s="54"/>
      <x:c r="E91" s="54"/>
      <x:c r="F91" s="55" t="str">
        <x:f>IF(A91="","",E91-D91)</x:f>
      </x:c>
      <x:c r="G91" s="54"/>
      <x:c r="H91" s="54"/>
      <x:c r="I91" s="55" t="str">
        <x:f>IF(A91="","",H91-G91)</x:f>
      </x:c>
      <x:c r="J91" s="50"/>
      <x:c r="K91" s="50"/>
      <x:c r="L91" s="50"/>
      <x:c r="M91" s="50"/>
    </x:row>
    <x:row r="92">
      <x:c r="A92" s="50"/>
      <x:c r="B92" s="50"/>
      <x:c r="C92" s="50"/>
      <x:c r="D92" s="54"/>
      <x:c r="E92" s="54"/>
      <x:c r="F92" s="55" t="str">
        <x:f>IF(A92="","",E92-D92)</x:f>
      </x:c>
      <x:c r="G92" s="54"/>
      <x:c r="H92" s="54"/>
      <x:c r="I92" s="55" t="str">
        <x:f>IF(A92="","",H92-G92)</x:f>
      </x:c>
      <x:c r="J92" s="50"/>
      <x:c r="K92" s="50"/>
      <x:c r="L92" s="50"/>
      <x:c r="M92" s="50"/>
    </x:row>
    <x:row r="93">
      <x:c r="A93" s="50"/>
      <x:c r="B93" s="50"/>
      <x:c r="C93" s="50"/>
      <x:c r="D93" s="54"/>
      <x:c r="E93" s="54"/>
      <x:c r="F93" s="55" t="str">
        <x:f>IF(A93="","",E93-D93)</x:f>
      </x:c>
      <x:c r="G93" s="54"/>
      <x:c r="H93" s="54"/>
      <x:c r="I93" s="55" t="str">
        <x:f>IF(A93="","",H93-G93)</x:f>
      </x:c>
      <x:c r="J93" s="50"/>
      <x:c r="K93" s="50"/>
      <x:c r="L93" s="50"/>
      <x:c r="M93" s="50"/>
    </x:row>
    <x:row r="94">
      <x:c r="A94" s="50"/>
      <x:c r="B94" s="50"/>
      <x:c r="C94" s="50"/>
      <x:c r="D94" s="54"/>
      <x:c r="E94" s="54"/>
      <x:c r="F94" s="55" t="str">
        <x:f>IF(A94="","",E94-D94)</x:f>
      </x:c>
      <x:c r="G94" s="54"/>
      <x:c r="H94" s="54"/>
      <x:c r="I94" s="55" t="str">
        <x:f>IF(A94="","",H94-G94)</x:f>
      </x:c>
      <x:c r="J94" s="50"/>
      <x:c r="K94" s="50"/>
      <x:c r="L94" s="50"/>
      <x:c r="M94" s="50"/>
    </x:row>
    <x:row r="95">
      <x:c r="A95" s="50"/>
      <x:c r="B95" s="50"/>
      <x:c r="C95" s="50"/>
      <x:c r="D95" s="54"/>
      <x:c r="E95" s="54"/>
      <x:c r="F95" s="55" t="str">
        <x:f>IF(A95="","",E95-D95)</x:f>
      </x:c>
      <x:c r="G95" s="54"/>
      <x:c r="H95" s="54"/>
      <x:c r="I95" s="55" t="str">
        <x:f>IF(A95="","",H95-G95)</x:f>
      </x:c>
      <x:c r="J95" s="50"/>
      <x:c r="K95" s="50"/>
      <x:c r="L95" s="50"/>
      <x:c r="M95" s="50"/>
    </x:row>
    <x:row r="96">
      <x:c r="A96" s="50"/>
      <x:c r="B96" s="50"/>
      <x:c r="C96" s="50"/>
      <x:c r="D96" s="54"/>
      <x:c r="E96" s="54"/>
      <x:c r="F96" s="55" t="str">
        <x:f>IF(A96="","",E96-D96)</x:f>
      </x:c>
      <x:c r="G96" s="54"/>
      <x:c r="H96" s="54"/>
      <x:c r="I96" s="55" t="str">
        <x:f>IF(A96="","",H96-G96)</x:f>
      </x:c>
      <x:c r="J96" s="50"/>
      <x:c r="K96" s="50"/>
      <x:c r="L96" s="50"/>
      <x:c r="M96" s="50"/>
    </x:row>
    <x:row r="97">
      <x:c r="A97" s="50"/>
      <x:c r="B97" s="50"/>
      <x:c r="C97" s="50"/>
      <x:c r="D97" s="54"/>
      <x:c r="E97" s="54"/>
      <x:c r="F97" s="55" t="str">
        <x:f>IF(A97="","",E97-D97)</x:f>
      </x:c>
      <x:c r="G97" s="54"/>
      <x:c r="H97" s="54"/>
      <x:c r="I97" s="55" t="str">
        <x:f>IF(A97="","",H97-G97)</x:f>
      </x:c>
      <x:c r="J97" s="50"/>
      <x:c r="K97" s="50"/>
      <x:c r="L97" s="50"/>
      <x:c r="M97" s="50"/>
    </x:row>
    <x:row r="98">
      <x:c r="A98" s="50"/>
      <x:c r="B98" s="50"/>
      <x:c r="C98" s="50"/>
      <x:c r="D98" s="54"/>
      <x:c r="E98" s="54"/>
      <x:c r="F98" s="55" t="str">
        <x:f>IF(A98="","",E98-D98)</x:f>
      </x:c>
      <x:c r="G98" s="54"/>
      <x:c r="H98" s="54"/>
      <x:c r="I98" s="55" t="str">
        <x:f>IF(A98="","",H98-G98)</x:f>
      </x:c>
      <x:c r="J98" s="50"/>
      <x:c r="K98" s="50"/>
      <x:c r="L98" s="50"/>
      <x:c r="M98" s="50"/>
    </x:row>
    <x:row r="99">
      <x:c r="A99" s="50"/>
      <x:c r="B99" s="50"/>
      <x:c r="C99" s="50"/>
      <x:c r="D99" s="54"/>
      <x:c r="E99" s="54"/>
      <x:c r="F99" s="55" t="str">
        <x:f>IF(A99="","",E99-D99)</x:f>
      </x:c>
      <x:c r="G99" s="54"/>
      <x:c r="H99" s="54"/>
      <x:c r="I99" s="55" t="str">
        <x:f>IF(A99="","",H99-G99)</x:f>
      </x:c>
      <x:c r="J99" s="50"/>
      <x:c r="K99" s="50"/>
      <x:c r="L99" s="50"/>
      <x:c r="M99" s="50"/>
    </x:row>
    <x:row r="100">
      <x:c r="A100" s="50"/>
      <x:c r="B100" s="50"/>
      <x:c r="C100" s="50"/>
      <x:c r="D100" s="54"/>
      <x:c r="E100" s="54"/>
      <x:c r="F100" s="55" t="str">
        <x:f>IF(A100="","",E100-D100)</x:f>
      </x:c>
      <x:c r="G100" s="54"/>
      <x:c r="H100" s="54"/>
      <x:c r="I100" s="55" t="str">
        <x:f>IF(A100="","",H100-G100)</x:f>
      </x:c>
      <x:c r="J100" s="50"/>
      <x:c r="K100" s="50"/>
      <x:c r="L100" s="50"/>
      <x:c r="M100" s="50"/>
    </x:row>
    <x:row r="101">
      <x:c r="A101" s="50"/>
      <x:c r="B101" s="50"/>
      <x:c r="C101" s="50"/>
      <x:c r="D101" s="54"/>
      <x:c r="E101" s="54"/>
      <x:c r="F101" s="55" t="str">
        <x:f>IF(A101="","",E101-D101)</x:f>
      </x:c>
      <x:c r="G101" s="54"/>
      <x:c r="H101" s="54"/>
      <x:c r="I101" s="55" t="str">
        <x:f>IF(A101="","",H101-G101)</x:f>
      </x:c>
      <x:c r="J101" s="50"/>
      <x:c r="K101" s="50"/>
      <x:c r="L101" s="50"/>
      <x:c r="M101" s="50"/>
    </x:row>
    <x:row r="102">
      <x:c r="A102" s="50"/>
      <x:c r="B102" s="50"/>
      <x:c r="C102" s="50"/>
      <x:c r="D102" s="54"/>
      <x:c r="E102" s="54"/>
      <x:c r="F102" s="55" t="str">
        <x:f>IF(A102="","",E102-D102)</x:f>
      </x:c>
      <x:c r="G102" s="54"/>
      <x:c r="H102" s="54"/>
      <x:c r="I102" s="55" t="str">
        <x:f>IF(A102="","",H102-G102)</x:f>
      </x:c>
      <x:c r="J102" s="50"/>
      <x:c r="K102" s="50"/>
      <x:c r="L102" s="50"/>
      <x:c r="M102" s="50"/>
    </x:row>
    <x:row r="103">
      <x:c r="A103" s="50"/>
      <x:c r="B103" s="50"/>
      <x:c r="C103" s="50"/>
      <x:c r="D103" s="54"/>
      <x:c r="E103" s="54"/>
      <x:c r="F103" s="55" t="str">
        <x:f>IF(A103="","",E103-D103)</x:f>
      </x:c>
      <x:c r="G103" s="54"/>
      <x:c r="H103" s="54"/>
      <x:c r="I103" s="55" t="str">
        <x:f>IF(A103="","",H103-G103)</x:f>
      </x:c>
      <x:c r="J103" s="50"/>
      <x:c r="K103" s="50"/>
      <x:c r="L103" s="50"/>
      <x:c r="M103" s="50"/>
    </x:row>
    <x:row r="104">
      <x:c r="A104" s="50"/>
      <x:c r="B104" s="50"/>
      <x:c r="C104" s="50"/>
      <x:c r="D104" s="54"/>
      <x:c r="E104" s="54"/>
      <x:c r="F104" s="55" t="str">
        <x:f>IF(A104="","",E104-D104)</x:f>
      </x:c>
      <x:c r="G104" s="54"/>
      <x:c r="H104" s="54"/>
      <x:c r="I104" s="55" t="str">
        <x:f>IF(A104="","",H104-G104)</x:f>
      </x:c>
      <x:c r="J104" s="50"/>
      <x:c r="K104" s="50"/>
      <x:c r="L104" s="50"/>
      <x:c r="M104" s="50"/>
    </x:row>
  </x:sheetData>
  <x:mergeCells>
    <x:mergeCell ref="A1:M1"/>
    <x:mergeCell ref="A2:M2"/>
  </x:mergeCells>
  <x:pageMargins left="0.7" right="0.7" top="0.75" bottom="0.75" header="0.3" footer="0.3"/>
</x:worksheet>
</file>